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bc8bd3693749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анель действий" sheetId="1" r:id="R2c5c1ee432cd40ec"/>
    <x:sheet xmlns:r="http://schemas.openxmlformats.org/officeDocument/2006/relationships" name="Этапы реализации" sheetId="2" r:id="Ra36bcfbf953745c9"/>
    <x:sheet xmlns:r="http://schemas.openxmlformats.org/officeDocument/2006/relationships" name="Смета" sheetId="3" r:id="R472bf155d1f14075"/>
    <x:sheet xmlns:r="http://schemas.openxmlformats.org/officeDocument/2006/relationships" name="Подрядчики" sheetId="4" r:id="R2ef55bc3c5b846fd"/>
    <x:sheet xmlns:r="http://schemas.openxmlformats.org/officeDocument/2006/relationships" name="Задания подрядчикам" sheetId="5" r:id="R4d325f25d4f8447c"/>
    <x:sheet xmlns:r="http://schemas.openxmlformats.org/officeDocument/2006/relationships" name="Комплектация" sheetId="6" r:id="R4f661a74389b4ca0"/>
    <x:sheet xmlns:r="http://schemas.openxmlformats.org/officeDocument/2006/relationships" name="Техника" sheetId="7" r:id="R7b7c964816414f06"/>
    <x:sheet xmlns:r="http://schemas.openxmlformats.org/officeDocument/2006/relationships" name="Озеленение" sheetId="8" r:id="Rc0b5004d4ad04989"/>
    <x:sheet xmlns:r="http://schemas.openxmlformats.org/officeDocument/2006/relationships" name="Аудит сайтов" sheetId="9" r:id="Rc284749bebea4459"/>
    <x:sheet xmlns:r="http://schemas.openxmlformats.org/officeDocument/2006/relationships" name="Источники цен" sheetId="10" r:id="R30c3a6affcf94db8"/>
    <x:sheet xmlns:r="http://schemas.openxmlformats.org/officeDocument/2006/relationships" name="Исходные данные" sheetId="11" r:id="R2b8fb69d48bb4c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%"/>
    <x:numFmt numFmtId="202" formatCode="#,##0.00"/>
    <x:numFmt numFmtId="203" formatCode="0"/>
    <x:numFmt numFmtId="204" formatCode="#,##0.00 ₽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1"/>
      <x:color rgb="FF7F6000"/>
      <x:name val="Carlito"/>
    </x:font>
    <x:font>
      <x:b/>
      <x:sz val="11"/>
      <x:color rgb="FF9C0006"/>
      <x:name val="Carlito"/>
    </x:font>
    <x:font>
      <x:b/>
      <x:sz val="11"/>
      <x:color rgb="FF17324D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</x:fills>
  <x:borders count="16">
    <x:border/>
    <x:border>
      <x:right style="thin">
        <x:color rgb="FFB4C6E7"/>
      </x:right>
    </x:border>
    <x:border>
      <x:left style="thin">
        <x:color rgb="FFB4C6E7"/>
      </x:left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B4C6E7"/>
      </x:righ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B4C6E7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B4C6E7"/>
      </x:right>
      <x:top style="thin">
        <x:color rgb="FFD9E2F3"/>
      </x:top>
    </x:border>
    <x:border>
      <x:left style="thin">
        <x:color rgb="FFB4C6E7"/>
      </x:left>
      <x:right style="thin">
        <x:color rgb="FFB4C6E7"/>
      </x:right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2" fillId="3" borderId="9" xfId="0" applyNumberFormat="1" applyFont="1" applyFill="1" applyBorder="1"/>
    <x:xf numFmtId="0" fontId="2" fillId="3" borderId="9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204" fontId="0" fillId="0" borderId="0" xfId="0" applyNumberFormat="1" applyFont="1" applyFill="1" applyBorder="1"/>
    <x:xf numFmtId="0" fontId="7" fillId="0" borderId="5" xfId="0" applyNumberFormat="1" applyFont="1" applyFill="1" applyBorder="1"/>
    <x:xf numFmtId="0" fontId="0" fillId="0" borderId="6" xfId="0" applyNumberFormat="1" applyFont="1" applyFill="1" applyBorder="1"/>
    <x:xf numFmtId="0" fontId="7" fillId="0" borderId="7" xfId="0" applyNumberFormat="1" applyFont="1" applyFill="1" applyBorder="1"/>
    <x:xf numFmtId="204" fontId="0" fillId="0" borderId="8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horizontal="center" wrapText="1"/>
    </x:xf>
    <x:xf numFmtId="0" fontId="6" fillId="6" borderId="5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4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9e4e4a3e3349b8" /><Relationship Type="http://schemas.openxmlformats.org/officeDocument/2006/relationships/theme" Target="/xl/theme/theme1.xml" Id="R0f44a0a944374594" /><Relationship Type="http://schemas.openxmlformats.org/officeDocument/2006/relationships/sharedStrings" Target="/xl/sharedStrings.xml" Id="R90c2422793d3408c" /><Relationship Type="http://schemas.openxmlformats.org/officeDocument/2006/relationships/worksheet" Target="/xl/worksheets/sheet1.xml" Id="R2c5c1ee432cd40ec" /><Relationship Type="http://schemas.openxmlformats.org/officeDocument/2006/relationships/worksheet" Target="/xl/worksheets/sheet2.xml" Id="Ra36bcfbf953745c9" /><Relationship Type="http://schemas.openxmlformats.org/officeDocument/2006/relationships/worksheet" Target="/xl/worksheets/sheet3.xml" Id="R472bf155d1f14075" /><Relationship Type="http://schemas.openxmlformats.org/officeDocument/2006/relationships/worksheet" Target="/xl/worksheets/sheet4.xml" Id="R2ef55bc3c5b846fd" /><Relationship Type="http://schemas.openxmlformats.org/officeDocument/2006/relationships/worksheet" Target="/xl/worksheets/sheet5.xml" Id="R4d325f25d4f8447c" /><Relationship Type="http://schemas.openxmlformats.org/officeDocument/2006/relationships/worksheet" Target="/xl/worksheets/sheet6.xml" Id="R4f661a74389b4ca0" /><Relationship Type="http://schemas.openxmlformats.org/officeDocument/2006/relationships/worksheet" Target="/xl/worksheets/sheet7.xml" Id="R7b7c964816414f06" /><Relationship Type="http://schemas.openxmlformats.org/officeDocument/2006/relationships/worksheet" Target="/xl/worksheets/sheet8.xml" Id="Rc0b5004d4ad04989" /><Relationship Type="http://schemas.openxmlformats.org/officeDocument/2006/relationships/worksheet" Target="/xl/worksheets/sheet9.xml" Id="Rc284749bebea4459" /><Relationship Type="http://schemas.openxmlformats.org/officeDocument/2006/relationships/worksheet" Target="/xl/worksheets/sheet10.xml" Id="R30c3a6affcf94db8" /><Relationship Type="http://schemas.openxmlformats.org/officeDocument/2006/relationships/worksheet" Target="/xl/worksheets/sheet11.xml" Id="R2b8fb69d48bb4c68" /></Relationships>
</file>

<file path=xl/tables/table1.xml><?xml version="1.0" encoding="utf-8"?>
<x:table xmlns:x="http://schemas.openxmlformats.org/spreadsheetml/2006/main" id="1" name="StagesTable" displayName="StagesTable" ref="A3:I15" headerRowCount="1" totalsRowCount="0" totalsRowShown="0">
  <x:tableColumns count="9">
    <x:tableColumn id="1" name="ID"/>
    <x:tableColumn id="2" name="Этап"/>
    <x:tableColumn id="3" name="Работы"/>
    <x:tableColumn id="4" name="Документы для реализации"/>
    <x:tableColumn id="5" name="Как выглядит на визуализации"/>
    <x:tableColumn id="6" name="Кто отвечает"/>
    <x:tableColumn id="7" name="Статус"/>
    <x:tableColumn id="8" name="Что нужно"/>
    <x:tableColumn id="9" name="Контрол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stimateTable" displayName="EstimateTable" ref="A4:N46" headerRowCount="1" totalsRowCount="0" totalsRowShown="0">
  <x:tableColumns count="14">
    <x:tableColumn id="1" name="ID"/>
    <x:tableColumn id="2" name="Раздел"/>
    <x:tableColumn id="3" name="Этап"/>
    <x:tableColumn id="4" name="Позиция"/>
    <x:tableColumn id="5" name="Тип"/>
    <x:tableColumn id="6" name="Ед."/>
    <x:tableColumn id="7" name="Количество"/>
    <x:tableColumn id="8" name="Цена, ₽"/>
    <x:tableColumn id="9" name="Стоимость, ₽"/>
    <x:tableColumn id="10" name="Статус цены"/>
    <x:tableColumn id="11" name="Регион источника"/>
    <x:tableColumn id="12" name="Дата"/>
    <x:tableColumn id="13" name="Источник"/>
    <x:tableColumn id="14" name="Комментари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ractorsTable" displayName="ContractorsTable" ref="A4:N15" headerRowCount="1" totalsRowCount="0" totalsRowShown="0">
  <x:tableColumns count="14">
    <x:tableColumn id="1" name="ID"/>
    <x:tableColumn id="2" name="Специализация"/>
    <x:tableColumn id="3" name="Запрос для Авито"/>
    <x:tableColumn id="4" name="Исполнитель"/>
    <x:tableColumn id="5" name="Ссылка"/>
    <x:tableColumn id="6" name="Город"/>
    <x:tableColumn id="7" name="Рейтинг"/>
    <x:tableColumn id="8" name="Отзывы"/>
    <x:tableColumn id="9" name="Договор/ИП"/>
    <x:tableColumn id="10" name="Гарантия"/>
    <x:tableColumn id="11" name="Портфолио похожих работ"/>
    <x:tableColumn id="12" name="Цена/КП"/>
    <x:tableColumn id="13" name="Статус"/>
    <x:tableColumn id="14" name="Контрольный вопро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riefsTable" displayName="BriefsTable" ref="A3:F10" headerRowCount="1" totalsRowCount="0" totalsRowShown="0">
  <x:tableColumns count="6">
    <x:tableColumn id="1" name="ID"/>
    <x:tableColumn id="2" name="Кому"/>
    <x:tableColumn id="3" name="Текст задания"/>
    <x:tableColumn id="4" name="Что приложить"/>
    <x:tableColumn id="5" name="Что получить"/>
    <x:tableColumn id="6" name="Критерий приёмки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pecificationTable" displayName="SpecificationTable" ref="A4:L18" headerRowCount="1" totalsRowCount="0" totalsRowShown="0">
  <x:tableColumns count="12">
    <x:tableColumn id="1" name="ID"/>
    <x:tableColumn id="2" name="Категория"/>
    <x:tableColumn id="3" name="Помещение"/>
    <x:tableColumn id="4" name="Позиция"/>
    <x:tableColumn id="5" name="Стиль/материал"/>
    <x:tableColumn id="6" name="Расстановка"/>
    <x:tableColumn id="7" name="Ед."/>
    <x:tableColumn id="8" name="Кол-во"/>
    <x:tableColumn id="9" name="Цена, ₽"/>
    <x:tableColumn id="10" name="Статус"/>
    <x:tableColumn id="11" name="URL"/>
    <x:tableColumn id="12" name="Проверить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ppliancesTable" displayName="AppliancesTable" ref="A4:M16" headerRowCount="1" totalsRowCount="0" totalsRowShown="0">
  <x:tableColumns count="13">
    <x:tableColumn id="1" name="ID"/>
    <x:tableColumn id="2" name="Помещение"/>
    <x:tableColumn id="3" name="Тип"/>
    <x:tableColumn id="4" name="Кандидат/модель"/>
    <x:tableColumn id="5" name="Габариты"/>
    <x:tableColumn id="6" name="Функция"/>
    <x:tableColumn id="7" name="Подключения и подготовка"/>
    <x:tableColumn id="8" name="Кол-во"/>
    <x:tableColumn id="9" name="Цена, ₽"/>
    <x:tableColumn id="10" name="Статус"/>
    <x:tableColumn id="11" name="Продавец/регион"/>
    <x:tableColumn id="12" name="URL"/>
    <x:tableColumn id="13" name="Координация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lantingTable" displayName="PlantingTable" ref="A4:Q10" headerRowCount="1" totalsRowCount="0" totalsRowShown="0">
  <x:tableColumns count="17">
    <x:tableColumn id="1" name="ID"/>
    <x:tableColumn id="2" name="Зона"/>
    <x:tableColumn id="3" name="Русское название/сорт"/>
    <x:tableColumn id="4" name="Ботаническое название"/>
    <x:tableColumn id="5" name="Кол-во"/>
    <x:tableColumn id="6" name="Посадочный размер"/>
    <x:tableColumn id="7" name="Взрослый H×W"/>
    <x:tableColumn id="8" name="Шаг по центрам"/>
    <x:tableColumn id="9" name="Свет"/>
    <x:tableColumn id="10" name="Почва/дренаж"/>
    <x:tableColumn id="11" name="Полив"/>
    <x:tableColumn id="12" name="Цветение/декоративность"/>
    <x:tableColumn id="13" name="Цена от, ₽/шт"/>
    <x:tableColumn id="14" name="Продавец"/>
    <x:tableColumn id="15" name="URL"/>
    <x:tableColumn id="16" name="Статус"/>
    <x:tableColumn id="17" name="Отступы и контроль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iteAuditTable" displayName="SiteAuditTable" ref="A4:J18" headerRowCount="1" totalsRowCount="0" totalsRowShown="0">
  <x:tableColumns count="10">
    <x:tableColumn id="1" name="ID"/>
    <x:tableColumn id="2" name="Категория"/>
    <x:tableColumn id="3" name="Сайт"/>
    <x:tableColumn id="4" name="Регион/точка"/>
    <x:tableColumn id="5" name="Что найдено"/>
    <x:tableColumn id="6" name="Ограничения/риски"/>
    <x:tableColumn id="7" name="Дата проверки"/>
    <x:tableColumn id="8" name="URL"/>
    <x:tableColumn id="9" name="Статус"/>
    <x:tableColumn id="10" name="Следующее действие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riceSourcesTable" displayName="PriceSourcesTable" ref="A3:G32" headerRowCount="1" totalsRowCount="0" totalsRowShown="0">
  <x:tableColumns count="7">
    <x:tableColumn id="1" name="ID"/>
    <x:tableColumn id="2" name="Позиция"/>
    <x:tableColumn id="3" name="Цена, ₽"/>
    <x:tableColumn id="4" name="Ед."/>
    <x:tableColumn id="5" name="Регион"/>
    <x:tableColumn id="6" name="Дата"/>
    <x:tableColumn id="7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cc8948bd1b45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6cade555b04f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e85454de1346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fc73756b3841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7ca118ccec4b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a503ce426440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b7cb07eb1e4b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5e5842f7edc4d1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218a2b4644c44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2" hidden="0" customWidth="1"/>
    <x:col min="3" max="3" width="4" hidden="0" customWidth="1"/>
    <x:col min="4" max="4" width="8" hidden="0" customWidth="1"/>
    <x:col min="5" max="5" width="22" hidden="0" customWidth="1"/>
    <x:col min="6" max="6" width="46" hidden="0" customWidth="1"/>
    <x:col min="7" max="7" width="18" hidden="0" customWidth="1"/>
    <x:col min="8" max="8" width="42" hidden="0" customWidth="1"/>
  </x:cols>
  <x:sheetData>
    <x:row r="1" ht="30" customHeight="1">
      <x:c r="A1" s="3" t="str">
        <x:v>Дима Облагораживание — панель начала работ</x:v>
      </x:c>
      <x:c r="B1" s="3" t="str">
        <x:v>Дима Облагораживание — панель начала работ</x:v>
      </x:c>
      <x:c r="C1" s="3" t="str">
        <x:v>Дима Облагораживание — панель начала работ</x:v>
      </x:c>
      <x:c r="D1" s="3" t="str">
        <x:v>Дима Облагораживание — панель начала работ</x:v>
      </x:c>
      <x:c r="E1" s="3" t="str">
        <x:v>Дима Облагораживание — панель начала работ</x:v>
      </x:c>
      <x:c r="F1" s="3" t="str">
        <x:v>Дима Облагораживание — панель начала работ</x:v>
      </x:c>
      <x:c r="G1" s="3" t="str">
        <x:v>Дима Облагораживание — панель начала работ</x:v>
      </x:c>
      <x:c r="H1" s="3" t="str">
        <x:v>Дима Облагораживание — панель начала работ</x:v>
      </x:c>
    </x:row>
    <x:row r="3">
      <x:c r="A3" s="19" t="str">
        <x:v>Показатель</x:v>
      </x:c>
      <x:c r="B3" s="20" t="str">
        <x:v>Значение</x:v>
      </x:c>
      <x:c r="D3" s="5" t="str">
        <x:v>Следующие действия</x:v>
      </x:c>
      <x:c r="E3" s="5" t="str">
        <x:v>Следующие действия</x:v>
      </x:c>
      <x:c r="F3" s="5" t="str">
        <x:v>Следующие действия</x:v>
      </x:c>
      <x:c r="G3" s="5" t="str">
        <x:v>Следующие действия</x:v>
      </x:c>
      <x:c r="H3" s="5" t="str">
        <x:v>Следующие действия</x:v>
      </x:c>
    </x:row>
    <x:row r="4">
      <x:c r="A4" s="45" t="str">
        <x:v>Всего этапов</x:v>
      </x:c>
      <x:c r="B4" s="46" t="n">
        <x:v>12</x:v>
      </x:c>
      <x:c r="D4" s="64" t="str">
        <x:v>1</x:v>
      </x:c>
      <x:c r="E4" s="50" t="str">
        <x:v>Заказчик</x:v>
      </x:c>
      <x:c r="F4" s="50" t="str">
        <x:v>Подтвердить точный адрес/район в Ставрополе</x:v>
      </x:c>
      <x:c r="G4" s="50" t="str">
        <x:v>Сразу</x:v>
      </x:c>
      <x:c r="H4" s="51" t="str">
        <x:v>Нужно для выездов, доставки и подрядчиков</x:v>
      </x:c>
    </x:row>
    <x:row r="5">
      <x:c r="A5" s="45" t="str">
        <x:v>Заблокировано</x:v>
      </x:c>
      <x:c r="B5" s="46" t="n">
        <x:f>COUNTIF('Этапы реализации'!G4:G15,"BLOCKED")</x:f>
        <x:v>5</x:v>
      </x:c>
      <x:c r="D5" s="65" t="str">
        <x:v>2</x:v>
      </x:c>
      <x:c r="E5" s="53" t="str">
        <x:v>Обмерщик</x:v>
      </x:c>
      <x:c r="F5" s="53" t="str">
        <x:v>Обследовать коробку и выпустить обмерный план</x:v>
      </x:c>
      <x:c r="G5" s="53" t="str">
        <x:v>До ремонта</x:v>
      </x:c>
      <x:c r="H5" s="54" t="str">
        <x:v>Закрывает G1</x:v>
      </x:c>
    </x:row>
    <x:row r="6">
      <x:c r="A6" s="45" t="str">
        <x:v>В работе</x:v>
      </x:c>
      <x:c r="B6" s="46" t="n">
        <x:f>COUNTIF('Этапы реализации'!G4:G15,"IN PROGRESS")</x:f>
        <x:v>1</x:v>
      </x:c>
      <x:c r="D6" s="65" t="str">
        <x:v>3</x:v>
      </x:c>
      <x:c r="E6" s="53" t="str">
        <x:v>Архитектор</x:v>
      </x:c>
      <x:c r="F6" s="53" t="str">
        <x:v>Замкнуть геометрию дома и проёмов</x:v>
      </x:c>
      <x:c r="G6" s="53" t="str">
        <x:v>После обмеров</x:v>
      </x:c>
      <x:c r="H6" s="54" t="str">
        <x:v>Закрывает G2</x:v>
      </x:c>
    </x:row>
    <x:row r="7">
      <x:c r="A7" s="45" t="str">
        <x:v>Прошло</x:v>
      </x:c>
      <x:c r="B7" s="46" t="n">
        <x:f>COUNTIF('Этапы реализации'!G4:G15,"PASS")</x:f>
        <x:v>0</x:v>
      </x:c>
      <x:c r="D7" s="65" t="str">
        <x:v>4</x:v>
      </x:c>
      <x:c r="E7" s="53" t="str">
        <x:v>Конструктор</x:v>
      </x:c>
      <x:c r="F7" s="53" t="str">
        <x:v>Проверить дверь детской и лицевой балкон</x:v>
      </x:c>
      <x:c r="G7" s="53" t="str">
        <x:v>До демонтажа</x:v>
      </x:c>
      <x:c r="H7" s="54" t="str">
        <x:v>Без расчёта строить нельзя</x:v>
      </x:c>
    </x:row>
    <x:row r="8">
      <x:c r="A8" s="45" t="str">
        <x:v>Позиции с ценой</x:v>
      </x:c>
      <x:c r="B8" s="46" t="n">
        <x:f>COUNT('Смета'!H5:H46)</x:f>
        <x:v>29</x:v>
      </x:c>
      <x:c r="D8" s="65" t="str">
        <x:v>5</x:v>
      </x:c>
      <x:c r="E8" s="53" t="str">
        <x:v>Инженеры</x:v>
      </x:c>
      <x:c r="F8" s="53" t="str">
        <x:v>Скоординировать сети и газ</x:v>
      </x:c>
      <x:c r="G8" s="53" t="str">
        <x:v>До штукатурки</x:v>
      </x:c>
      <x:c r="H8" s="54" t="str">
        <x:v>Трассы не режут готовую отделку</x:v>
      </x:c>
    </x:row>
    <x:row r="9">
      <x:c r="A9" s="45" t="str">
        <x:v>Позиции без цены/КП</x:v>
      </x:c>
      <x:c r="B9" s="46" t="n">
        <x:f>COUNTBLANK('Смета'!H5:H46)</x:f>
        <x:v>13</x:v>
      </x:c>
      <x:c r="D9" s="65" t="str">
        <x:v>6</x:v>
      </x:c>
      <x:c r="E9" s="53" t="str">
        <x:v>Закупка</x:v>
      </x:c>
      <x:c r="F9" s="53" t="str">
        <x:v>Получить по 3 КП на крупные позиции</x:v>
      </x:c>
      <x:c r="G9" s="53" t="str">
        <x:v>После объёмов</x:v>
      </x:c>
      <x:c r="H9" s="54" t="str">
        <x:v>Заполнить листы Смета и Подрядчики</x:v>
      </x:c>
    </x:row>
    <x:row r="10">
      <x:c r="A10" s="47" t="str">
        <x:v>Частичная сумма выбранной комплектации</x:v>
      </x:c>
      <x:c r="B10" s="48" t="n">
        <x:f>SUM('Смета'!I5:I46)</x:f>
        <x:v>575852</x:v>
      </x:c>
      <x:c r="D10" s="66" t="str">
        <x:v>7</x:v>
      </x:c>
      <x:c r="E10" s="56" t="str">
        <x:v>Суперпроверка</x:v>
      </x:c>
      <x:c r="F10" s="56" t="str">
        <x:v>Пройти G1–G7</x:v>
      </x:c>
      <x:c r="G10" s="56" t="str">
        <x:v>Перед передачей</x:v>
      </x:c>
      <x:c r="H10" s="57" t="str">
        <x:v>Только 7 PASS разрешают финальный комплект</x:v>
      </x:c>
    </x:row>
    <x:row r="12">
      <x:c r="A12" s="67" t="str">
        <x:v>ВАЖНО: показанная сумма включает только позиции с уже заданным количеством. Это не бюджет всего проекта: строительные объёмы, инженерия, доставка, монтаж и большинство индивидуальных изделий появятся после обмеров и коммерческих предложений.</x:v>
      </x:c>
      <x:c r="B12" s="67" t="str">
        <x:v>ВАЖНО: показанная сумма включает только позиции с уже заданным количеством. Это не бюджет всего проекта: строительные объёмы, инженерия, доставка, монтаж и большинство индивидуальных изделий появятся после обмеров и коммерческих предложений.</x:v>
      </x:c>
      <x:c r="C12" s="67" t="str">
        <x:v>ВАЖНО: показанная сумма включает только позиции с уже заданным количеством. Это не бюджет всего проекта: строительные объёмы, инженерия, доставка, монтаж и большинство индивидуальных изделий появятся после обмеров и коммерческих предложений.</x:v>
      </x:c>
      <x:c r="D12" s="67" t="str">
        <x:v>ВАЖНО: показанная сумма включает только позиции с уже заданным количеством. Это не бюджет всего проекта: строительные объёмы, инженерия, доставка, монтаж и большинство индивидуальных изделий появятся после обмеров и коммерческих предложений.</x:v>
      </x:c>
      <x:c r="E12" s="67" t="str">
        <x:v>ВАЖНО: показанная сумма включает только позиции с уже заданным количеством. Это не бюджет всего проекта: строительные объёмы, инженерия, доставка, монтаж и большинство индивидуальных изделий появятся после обмеров и коммерческих предложений.</x:v>
      </x:c>
      <x:c r="F12" s="67" t="str">
        <x:v>ВАЖНО: показанная сумма включает только позиции с уже заданным количеством. Это не бюджет всего проекта: строительные объёмы, инженерия, доставка, монтаж и большинство индивидуальных изделий появятся после обмеров и коммерческих предложений.</x:v>
      </x:c>
      <x:c r="G12" s="67" t="str">
        <x:v>ВАЖНО: показанная сумма включает только позиции с уже заданным количеством. Это не бюджет всего проекта: строительные объёмы, инженерия, доставка, монтаж и большинство индивидуальных изделий появятся после обмеров и коммерческих предложений.</x:v>
      </x:c>
      <x:c r="H12" s="67" t="str">
        <x:v>ВАЖНО: показанная сумма включает только позиции с уже заданным количеством. Это не бюджет всего проекта: строительные объёмы, инженерия, доставка, монтаж и большинство индивидуальных изделий появятся после обмеров и коммерческих предложений.</x:v>
      </x:c>
    </x:row>
    <x:row r="13">
      <x:c r="A13" s="67" t="str">
        <x:v>ВАЖНО: показанная сумма включает только позиции с уже заданным количеством. Это не бюджет всего проекта: строительные объёмы, инженерия, доставка, монтаж и большинство индивидуальных изделий появятся после обмеров и коммерческих предложений.</x:v>
      </x:c>
      <x:c r="B13" s="67" t="str">
        <x:v>ВАЖНО: показанная сумма включает только позиции с уже заданным количеством. Это не бюджет всего проекта: строительные объёмы, инженерия, доставка, монтаж и большинство индивидуальных изделий появятся после обмеров и коммерческих предложений.</x:v>
      </x:c>
      <x:c r="C13" s="67" t="str">
        <x:v>ВАЖНО: показанная сумма включает только позиции с уже заданным количеством. Это не бюджет всего проекта: строительные объёмы, инженерия, доставка, монтаж и большинство индивидуальных изделий появятся после обмеров и коммерческих предложений.</x:v>
      </x:c>
      <x:c r="D13" s="67" t="str">
        <x:v>ВАЖНО: показанная сумма включает только позиции с уже заданным количеством. Это не бюджет всего проекта: строительные объёмы, инженерия, доставка, монтаж и большинство индивидуальных изделий появятся после обмеров и коммерческих предложений.</x:v>
      </x:c>
      <x:c r="E13" s="67" t="str">
        <x:v>ВАЖНО: показанная сумма включает только позиции с уже заданным количеством. Это не бюджет всего проекта: строительные объёмы, инженерия, доставка, монтаж и большинство индивидуальных изделий появятся после обмеров и коммерческих предложений.</x:v>
      </x:c>
      <x:c r="F13" s="67" t="str">
        <x:v>ВАЖНО: показанная сумма включает только позиции с уже заданным количеством. Это не бюджет всего проекта: строительные объёмы, инженерия, доставка, монтаж и большинство индивидуальных изделий появятся после обмеров и коммерческих предложений.</x:v>
      </x:c>
      <x:c r="G13" s="67" t="str">
        <x:v>ВАЖНО: показанная сумма включает только позиции с уже заданным количеством. Это не бюджет всего проекта: строительные объёмы, инженерия, доставка, монтаж и большинство индивидуальных изделий появятся после обмеров и коммерческих предложений.</x:v>
      </x:c>
      <x:c r="H13" s="67" t="str">
        <x:v>ВАЖНО: показанная сумма включает только позиции с уже заданным количеством. Это не бюджет всего проекта: строительные объёмы, инженерия, доставка, монтаж и большинство индивидуальных изделий появятся после обмеров и коммерческих предложений.</x:v>
      </x:c>
    </x:row>
    <x:row r="14">
      <x:c r="A14" s="67" t="str">
        <x:v>ВАЖНО: показанная сумма включает только позиции с уже заданным количеством. Это не бюджет всего проекта: строительные объёмы, инженерия, доставка, монтаж и большинство индивидуальных изделий появятся после обмеров и коммерческих предложений.</x:v>
      </x:c>
      <x:c r="B14" s="67" t="str">
        <x:v>ВАЖНО: показанная сумма включает только позиции с уже заданным количеством. Это не бюджет всего проекта: строительные объёмы, инженерия, доставка, монтаж и большинство индивидуальных изделий появятся после обмеров и коммерческих предложений.</x:v>
      </x:c>
      <x:c r="C14" s="67" t="str">
        <x:v>ВАЖНО: показанная сумма включает только позиции с уже заданным количеством. Это не бюджет всего проекта: строительные объёмы, инженерия, доставка, монтаж и большинство индивидуальных изделий появятся после обмеров и коммерческих предложений.</x:v>
      </x:c>
      <x:c r="D14" s="67" t="str">
        <x:v>ВАЖНО: показанная сумма включает только позиции с уже заданным количеством. Это не бюджет всего проекта: строительные объёмы, инженерия, доставка, монтаж и большинство индивидуальных изделий появятся после обмеров и коммерческих предложений.</x:v>
      </x:c>
      <x:c r="E14" s="67" t="str">
        <x:v>ВАЖНО: показанная сумма включает только позиции с уже заданным количеством. Это не бюджет всего проекта: строительные объёмы, инженерия, доставка, монтаж и большинство индивидуальных изделий появятся после обмеров и коммерческих предложений.</x:v>
      </x:c>
      <x:c r="F14" s="67" t="str">
        <x:v>ВАЖНО: показанная сумма включает только позиции с уже заданным количеством. Это не бюджет всего проекта: строительные объёмы, инженерия, доставка, монтаж и большинство индивидуальных изделий появятся после обмеров и коммерческих предложений.</x:v>
      </x:c>
      <x:c r="G14" s="67" t="str">
        <x:v>ВАЖНО: показанная сумма включает только позиции с уже заданным количеством. Это не бюджет всего проекта: строительные объёмы, инженерия, доставка, монтаж и большинство индивидуальных изделий появятся после обмеров и коммерческих предложений.</x:v>
      </x:c>
      <x:c r="H14" s="67" t="str">
        <x:v>ВАЖНО: показанная сумма включает только позиции с уже заданным количеством. Это не бюджет всего проекта: строительные объёмы, инженерия, доставка, монтаж и большинство индивидуальных изделий появятся после обмеров и коммерческих предложений.</x:v>
      </x:c>
    </x:row>
  </x:sheetData>
  <x:mergeCells>
    <x:mergeCell ref="A1:H1"/>
    <x:mergeCell ref="D3:H3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38" hidden="0" customWidth="1"/>
    <x:col min="4" max="4" width="38" hidden="0" customWidth="1"/>
    <x:col min="5" max="5" width="31" hidden="0" customWidth="1"/>
    <x:col min="6" max="6" width="28" hidden="0" customWidth="1"/>
    <x:col min="7" max="7" width="16" hidden="0" customWidth="1"/>
    <x:col min="8" max="8" width="34" hidden="0" customWidth="1"/>
    <x:col min="9" max="9" width="34" hidden="0" customWidth="1"/>
  </x:cols>
  <x:sheetData>
    <x:row r="1" ht="30" customHeight="1">
      <x:c r="A1" s="3" t="str">
        <x:v>Реализация: что делаем, чем подтверждаем и как показываем</x:v>
      </x:c>
      <x:c r="B1" s="3" t="str">
        <x:v>Реализация: что делаем, чем подтверждаем и как показываем</x:v>
      </x:c>
      <x:c r="C1" s="3" t="str">
        <x:v>Реализация: что делаем, чем подтверждаем и как показываем</x:v>
      </x:c>
      <x:c r="D1" s="3" t="str">
        <x:v>Реализация: что делаем, чем подтверждаем и как показываем</x:v>
      </x:c>
      <x:c r="E1" s="3" t="str">
        <x:v>Реализация: что делаем, чем подтверждаем и как показываем</x:v>
      </x:c>
      <x:c r="F1" s="3" t="str">
        <x:v>Реализация: что делаем, чем подтверждаем и как показываем</x:v>
      </x:c>
      <x:c r="G1" s="3" t="str">
        <x:v>Реализация: что делаем, чем подтверждаем и как показываем</x:v>
      </x:c>
      <x:c r="H1" s="3" t="str">
        <x:v>Реализация: что делаем, чем подтверждаем и как показываем</x:v>
      </x:c>
      <x:c r="I1" s="3" t="str">
        <x:v>Реализация: что делаем, чем подтверждаем и как показываем</x:v>
      </x:c>
    </x:row>
    <x:row r="3">
      <x:c r="A3" s="10" t="str">
        <x:v>ID</x:v>
      </x:c>
      <x:c r="B3" s="32" t="str">
        <x:v>Этап</x:v>
      </x:c>
      <x:c r="C3" s="32" t="str">
        <x:v>Работы</x:v>
      </x:c>
      <x:c r="D3" s="32" t="str">
        <x:v>Документы для реализации</x:v>
      </x:c>
      <x:c r="E3" s="32" t="str">
        <x:v>Как выглядит на визуализации</x:v>
      </x:c>
      <x:c r="F3" s="32" t="str">
        <x:v>Кто отвечает</x:v>
      </x:c>
      <x:c r="G3" s="32" t="str">
        <x:v>Статус</x:v>
      </x:c>
      <x:c r="H3" s="32" t="str">
        <x:v>Что нужно</x:v>
      </x:c>
      <x:c r="I3" s="11" t="str">
        <x:v>Контроль</x:v>
      </x:c>
    </x:row>
    <x:row r="4">
      <x:c r="A4" s="16" t="str">
        <x:v>E01</x:v>
      </x:c>
      <x:c r="B4" s="16" t="str">
        <x:v>Обследование коробки</x:v>
      </x:c>
      <x:c r="C4" s="16" t="str">
        <x:v>Обмеры, влажность, трещины, крыша, вводы</x:v>
      </x:c>
      <x:c r="D4" s="16" t="str">
        <x:v>Обмерный план; фото; дефектная ведомость</x:v>
      </x:c>
      <x:c r="E4" s="16" t="str">
        <x:v>Существующая коробка</x:v>
      </x:c>
      <x:c r="F4" s="16" t="str">
        <x:v>Технадзор/обмерщик</x:v>
      </x:c>
      <x:c r="G4" s="16" t="str">
        <x:v>BLOCKED</x:v>
      </x:c>
      <x:c r="H4" s="16" t="str">
        <x:v>Регион, выезд, исполнительные размеры</x:v>
      </x:c>
      <x:c r="I4" s="16" t="str">
        <x:v>До любого демонтажа</x:v>
      </x:c>
    </x:row>
    <x:row r="5">
      <x:c r="A5" s="16" t="str">
        <x:v>E02</x:v>
      </x:c>
      <x:c r="B5" s="16" t="str">
        <x:v>Архитектура</x:v>
      </x:c>
      <x:c r="C5" s="16" t="str">
        <x:v>Сверка PDF, проёмов, фасадов, заднего балкона</x:v>
      </x:c>
      <x:c r="D5" s="16" t="str">
        <x:v>Планы; 4 фасада; разрез; ведомость проёмов</x:v>
      </x:c>
      <x:c r="E5" s="16" t="str">
        <x:v>Серая модель + размерные виды</x:v>
      </x:c>
      <x:c r="F5" s="16" t="str">
        <x:v>Архитектор</x:v>
      </x:c>
      <x:c r="G5" s="16" t="str">
        <x:v>IN PROGRESS</x:v>
      </x:c>
      <x:c r="H5" s="16" t="str">
        <x:v>Сверка всех листов PDF</x:v>
      </x:c>
      <x:c r="I5" s="16" t="str">
        <x:v>Новые решения отделены от существующих</x:v>
      </x:c>
    </x:row>
    <x:row r="6">
      <x:c r="A6" s="16" t="str">
        <x:v>E03</x:v>
      </x:c>
      <x:c r="B6" s="16" t="str">
        <x:v>Конструктив</x:v>
      </x:c>
      <x:c r="C6" s="16" t="str">
        <x:v>Дверь детской, лицевой балкон, террасы, узлы</x:v>
      </x:c>
      <x:c r="D6" s="16" t="str">
        <x:v>Расчёт; узлы; спецификация; акт обследования</x:v>
      </x:c>
      <x:c r="E6" s="16" t="str">
        <x:v>Схема усилений и узлов</x:v>
      </x:c>
      <x:c r="F6" s="16" t="str">
        <x:v>Конструктор</x:v>
      </x:c>
      <x:c r="G6" s="16" t="str">
        <x:v>BLOCKED</x:v>
      </x:c>
      <x:c r="H6" s="16" t="str">
        <x:v>Очное обследование</x:v>
      </x:c>
      <x:c r="I6" s="16" t="str">
        <x:v>Без расчёта не строить</x:v>
      </x:c>
    </x:row>
    <x:row r="7">
      <x:c r="A7" s="16" t="str">
        <x:v>E04</x:v>
      </x:c>
      <x:c r="B7" s="16" t="str">
        <x:v>Инженерия</x:v>
      </x:c>
      <x:c r="C7" s="16" t="str">
        <x:v>Электрика, вода, канализация, отопление, вентиляция, газ</x:v>
      </x:c>
      <x:c r="D7" s="16" t="str">
        <x:v>Планы сетей; расчёты; однолинейная; спецификации</x:v>
      </x:c>
      <x:c r="E7" s="16" t="str">
        <x:v>Черновые трассы в C4D</x:v>
      </x:c>
      <x:c r="F7" s="16" t="str">
        <x:v>Инженеры разделов</x:v>
      </x:c>
      <x:c r="G7" s="16" t="str">
        <x:v>BLOCKED</x:v>
      </x:c>
      <x:c r="H7" s="16" t="str">
        <x:v>ТУ, мощности, точки ввода</x:v>
      </x:c>
      <x:c r="I7" s="16" t="str">
        <x:v>Газ только по отдельному согласованному разделу</x:v>
      </x:c>
    </x:row>
    <x:row r="8">
      <x:c r="A8" s="16" t="str">
        <x:v>E05</x:v>
      </x:c>
      <x:c r="B8" s="16" t="str">
        <x:v>Демонтаж и усиления</x:v>
      </x:c>
      <x:c r="C8" s="16" t="str">
        <x:v>Подготовка, проёмы, усиления, гидроизоляция</x:v>
      </x:c>
      <x:c r="D8" s="16" t="str">
        <x:v>ППР; акты скрытых работ; фото</x:v>
      </x:c>
      <x:c r="E8" s="16" t="str">
        <x:v>Этап: после демонтажа</x:v>
      </x:c>
      <x:c r="F8" s="16" t="str">
        <x:v>Генподрядчик + технадзор</x:v>
      </x:c>
      <x:c r="G8" s="16" t="str">
        <x:v>NOT STARTED</x:v>
      </x:c>
      <x:c r="H8" s="16" t="str">
        <x:v>E01-E04 должны быть закрыты</x:v>
      </x:c>
      <x:c r="I8" s="16" t="str">
        <x:v>Тяжёлые работы до чистовой отделки</x:v>
      </x:c>
    </x:row>
    <x:row r="9">
      <x:c r="A9" s="16" t="str">
        <x:v>E06</x:v>
      </x:c>
      <x:c r="B9" s="16" t="str">
        <x:v>Черновые сети</x:v>
      </x:c>
      <x:c r="C9" s="16" t="str">
        <x:v>Трассы, закладные, перегородки, опрессовка</x:v>
      </x:c>
      <x:c r="D9" s="16" t="str">
        <x:v>Исполнительные схемы; протоколы испытаний</x:v>
      </x:c>
      <x:c r="E9" s="16" t="str">
        <x:v>Этап: сети до зашивки</x:v>
      </x:c>
      <x:c r="F9" s="16" t="str">
        <x:v>Электрик/сантехник/вентиляция</x:v>
      </x:c>
      <x:c r="G9" s="16" t="str">
        <x:v>NOT STARTED</x:v>
      </x:c>
      <x:c r="H9" s="16" t="str">
        <x:v>Рабочие планы</x:v>
      </x:c>
      <x:c r="I9" s="16" t="str">
        <x:v>Фото каждой стены до зашивки</x:v>
      </x:c>
    </x:row>
    <x:row r="10">
      <x:c r="A10" s="16" t="str">
        <x:v>E07</x:v>
      </x:c>
      <x:c r="B10" s="16" t="str">
        <x:v>Черновая отделка</x:v>
      </x:c>
      <x:c r="C10" s="16" t="str">
        <x:v>Штукатурка, стяжка, гидроизоляция, основания</x:v>
      </x:c>
      <x:c r="D10" s="16" t="str">
        <x:v>Акты; карты влажности; плоскостность</x:v>
      </x:c>
      <x:c r="E10" s="16" t="str">
        <x:v>Этап: ровные основания</x:v>
      </x:c>
      <x:c r="F10" s="16" t="str">
        <x:v>Штукатуры/стяжка/плиточник</x:v>
      </x:c>
      <x:c r="G10" s="16" t="str">
        <x:v>NOT STARTED</x:v>
      </x:c>
      <x:c r="H10" s="16" t="str">
        <x:v>Закрыта черновая инженерия</x:v>
      </x:c>
      <x:c r="I10" s="16" t="str">
        <x:v>Приёмка правилом и лазером</x:v>
      </x:c>
    </x:row>
    <x:row r="11">
      <x:c r="A11" s="16" t="str">
        <x:v>E08</x:v>
      </x:c>
      <x:c r="B11" s="16" t="str">
        <x:v>Чистовая отделка</x:v>
      </x:c>
      <x:c r="C11" s="16" t="str">
        <x:v>Краска, плитка, пол, потолки, двери</x:v>
      </x:c>
      <x:c r="D11" s="16" t="str">
        <x:v>Развёртки; раскладки; ведомость отделки</x:v>
      </x:c>
      <x:c r="E11" s="16" t="str">
        <x:v>Этап: готовая отделка без мебели</x:v>
      </x:c>
      <x:c r="F11" s="16" t="str">
        <x:v>Отделочники</x:v>
      </x:c>
      <x:c r="G11" s="16" t="str">
        <x:v>NOT STARTED</x:v>
      </x:c>
      <x:c r="H11" s="16" t="str">
        <x:v>Утверждены образцы материалов</x:v>
      </x:c>
      <x:c r="I11" s="16" t="str">
        <x:v>Контроль партий и оттенков</x:v>
      </x:c>
    </x:row>
    <x:row r="12">
      <x:c r="A12" s="16" t="str">
        <x:v>E09</x:v>
      </x:c>
      <x:c r="B12" s="16" t="str">
        <x:v>Комплектация</x:v>
      </x:c>
      <x:c r="C12" s="16" t="str">
        <x:v>Сантехника, свет, кухня, мебель, текстиль</x:v>
      </x:c>
      <x:c r="D12" s="16" t="str">
        <x:v>Спецификации; паспорта; гарантии</x:v>
      </x:c>
      <x:c r="E12" s="16" t="str">
        <x:v>Этап: готовый интерьер</x:v>
      </x:c>
      <x:c r="F12" s="16" t="str">
        <x:v>Комплектатор/мебельщики</x:v>
      </x:c>
      <x:c r="G12" s="16" t="str">
        <x:v>NOT STARTED</x:v>
      </x:c>
      <x:c r="H12" s="16" t="str">
        <x:v>Фактические чистовые размеры</x:v>
      </x:c>
      <x:c r="I12" s="16" t="str">
        <x:v>Заказ встроенной мебели после контрольного замера</x:v>
      </x:c>
    </x:row>
    <x:row r="13">
      <x:c r="A13" s="16" t="str">
        <x:v>E10</x:v>
      </x:c>
      <x:c r="B13" s="16" t="str">
        <x:v>Участок</x:v>
      </x:c>
      <x:c r="C13" s="16" t="str">
        <x:v>Водоотвод, бетон, маршруты, баня, хозблок, посадки, свет</x:v>
      </x:c>
      <x:c r="D13" s="16" t="str">
        <x:v>Генплан; узлы; дендроплан; свет; смета</x:v>
      </x:c>
      <x:c r="E13" s="16" t="str">
        <x:v>4 сезона + день/вечер</x:v>
      </x:c>
      <x:c r="F13" s="16" t="str">
        <x:v>Ландшафтный подрядчик</x:v>
      </x:c>
      <x:c r="G13" s="16" t="str">
        <x:v>BLOCKED</x:v>
      </x:c>
      <x:c r="H13" s="16" t="str">
        <x:v>Топосъёмка, геология, регион</x:v>
      </x:c>
      <x:c r="I13" s="16" t="str">
        <x:v>Чистовой двор после тяжёлых доставок</x:v>
      </x:c>
    </x:row>
    <x:row r="14">
      <x:c r="A14" s="16" t="str">
        <x:v>E11</x:v>
      </x:c>
      <x:c r="B14" s="16" t="str">
        <x:v>Пусконаладка</x:v>
      </x:c>
      <x:c r="C14" s="16" t="str">
        <x:v>Испытания сетей, автоматики, света, вытяжки</x:v>
      </x:c>
      <x:c r="D14" s="16" t="str">
        <x:v>Протоколы; дефектный акт; обучение</x:v>
      </x:c>
      <x:c r="E14" s="16" t="str">
        <x:v>Финальное состояние</x:v>
      </x:c>
      <x:c r="F14" s="16" t="str">
        <x:v>Технадзор + подрядчики</x:v>
      </x:c>
      <x:c r="G14" s="16" t="str">
        <x:v>NOT STARTED</x:v>
      </x:c>
      <x:c r="H14" s="16" t="str">
        <x:v>Все системы смонтированы</x:v>
      </x:c>
      <x:c r="I14" s="16" t="str">
        <x:v>До заселения</x:v>
      </x:c>
    </x:row>
    <x:row r="15">
      <x:c r="A15" s="16" t="str">
        <x:v>E12</x:v>
      </x:c>
      <x:c r="B15" s="16" t="str">
        <x:v>Передача</x:v>
      </x:c>
      <x:c r="C15" s="16" t="str">
        <x:v>Исполнительные файлы, гарантии, смета, модель, сайт</x:v>
      </x:c>
      <x:c r="D15" s="16" t="str">
        <x:v>Release-manifest; SHA-256; 7 PASS</x:v>
      </x:c>
      <x:c r="E15" s="16" t="str">
        <x:v>Чистые и аннотированные пары</x:v>
      </x:c>
      <x:c r="F15" s="16" t="str">
        <x:v>Суперпроверяющий</x:v>
      </x:c>
      <x:c r="G15" s="16" t="str">
        <x:v>BLOCKED</x:v>
      </x:c>
      <x:c r="H15" s="16" t="str">
        <x:v>Закрыты G1-G7</x:v>
      </x:c>
      <x:c r="I15" s="16" t="str">
        <x:v>Только после семи PASS</x:v>
      </x:c>
    </x:row>
  </x:sheetData>
  <x:mergeCells>
    <x:mergeCell ref="A1:I1"/>
  </x:mergeCells>
  <x:conditionalFormatting sqref="G4:G15">
    <x:cfRule type="containsText" dxfId="0" priority="1" operator="containsText" text="PASS"/>
    <x:cfRule type="containsText" dxfId="1" priority="2" operator="containsText" text="BLOCKED"/>
    <x:cfRule type="containsText" dxfId="2" priority="3" operator="containsText" text="IN PROGRESS"/>
  </x:conditionalFormatting>
  <x:dataValidations count="1">
    <x:dataValidation type="list" sqref="G4:G15">
      <x:formula1>"NOT STARTED,IN PROGRESS,BLOCKED,PASS"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cc8948bd1b45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0" hidden="0" customWidth="1"/>
    <x:col min="4" max="4" width="42" hidden="0" customWidth="1"/>
    <x:col min="5" max="5" width="20" hidden="0" customWidth="1"/>
    <x:col min="6" max="6" width="12" hidden="0" customWidth="1"/>
    <x:col min="7" max="7" width="13" hidden="0" customWidth="1"/>
    <x:col min="8" max="8" width="14" hidden="0" customWidth="1"/>
    <x:col min="9" max="9" width="16" hidden="0" customWidth="1"/>
    <x:col min="10" max="10" width="18" hidden="0" customWidth="1"/>
    <x:col min="11" max="11" width="22" hidden="0" customWidth="1"/>
    <x:col min="12" max="12" width="13" hidden="0" customWidth="1"/>
    <x:col min="13" max="13" width="56" hidden="0" customWidth="1"/>
    <x:col min="14" max="14" width="38" hidden="0" customWidth="1"/>
  </x:cols>
  <x:sheetData>
    <x:row r="1" ht="30" customHeight="1">
      <x:c r="A1" s="3" t="str">
        <x:v>Смета: цены подтверждаются ссылкой, объёмы — рабочими чертежами</x:v>
      </x:c>
      <x:c r="B1" s="3" t="str">
        <x:v>Смета: цены подтверждаются ссылкой, объёмы — рабочими чертежами</x:v>
      </x:c>
      <x:c r="C1" s="3" t="str">
        <x:v>Смета: цены подтверждаются ссылкой, объёмы — рабочими чертежами</x:v>
      </x:c>
      <x:c r="D1" s="3" t="str">
        <x:v>Смета: цены подтверждаются ссылкой, объёмы — рабочими чертежами</x:v>
      </x:c>
      <x:c r="E1" s="3" t="str">
        <x:v>Смета: цены подтверждаются ссылкой, объёмы — рабочими чертежами</x:v>
      </x:c>
      <x:c r="F1" s="3" t="str">
        <x:v>Смета: цены подтверждаются ссылкой, объёмы — рабочими чертежами</x:v>
      </x:c>
      <x:c r="G1" s="3" t="str">
        <x:v>Смета: цены подтверждаются ссылкой, объёмы — рабочими чертежами</x:v>
      </x:c>
      <x:c r="H1" s="3" t="str">
        <x:v>Смета: цены подтверждаются ссылкой, объёмы — рабочими чертежами</x:v>
      </x:c>
      <x:c r="I1" s="3" t="str">
        <x:v>Смета: цены подтверждаются ссылкой, объёмы — рабочими чертежами</x:v>
      </x:c>
      <x:c r="J1" s="3" t="str">
        <x:v>Смета: цены подтверждаются ссылкой, объёмы — рабочими чертежами</x:v>
      </x:c>
      <x:c r="K1" s="3" t="str">
        <x:v>Смета: цены подтверждаются ссылкой, объёмы — рабочими чертежами</x:v>
      </x:c>
      <x:c r="L1" s="3" t="str">
        <x:v>Смета: цены подтверждаются ссылкой, объёмы — рабочими чертежами</x:v>
      </x:c>
      <x:c r="M1" s="3" t="str">
        <x:v>Смета: цены подтверждаются ссылкой, объёмы — рабочими чертежами</x:v>
      </x:c>
      <x:c r="N1" s="3" t="str">
        <x:v>Смета: цены подтверждаются ссылкой, объёмы — рабочими чертежами</x:v>
      </x:c>
    </x:row>
    <x:row r="2">
      <x:c r="A2" s="28" t="str">
        <x:v>Пустое количество означает: цена найдена, но сумма намеренно не выдумана до выпуска объёмов.</x:v>
      </x:c>
      <x:c r="B2" s="28" t="str">
        <x:v>Пустое количество означает: цена найдена, но сумма намеренно не выдумана до выпуска объёмов.</x:v>
      </x:c>
      <x:c r="C2" s="28" t="str">
        <x:v>Пустое количество означает: цена найдена, но сумма намеренно не выдумана до выпуска объёмов.</x:v>
      </x:c>
      <x:c r="D2" s="28" t="str">
        <x:v>Пустое количество означает: цена найдена, но сумма намеренно не выдумана до выпуска объёмов.</x:v>
      </x:c>
      <x:c r="E2" s="28" t="str">
        <x:v>Пустое количество означает: цена найдена, но сумма намеренно не выдумана до выпуска объёмов.</x:v>
      </x:c>
      <x:c r="F2" s="28" t="str">
        <x:v>Пустое количество означает: цена найдена, но сумма намеренно не выдумана до выпуска объёмов.</x:v>
      </x:c>
      <x:c r="G2" s="28" t="str">
        <x:v>Пустое количество означает: цена найдена, но сумма намеренно не выдумана до выпуска объёмов.</x:v>
      </x:c>
      <x:c r="H2" s="28" t="str">
        <x:v>Пустое количество означает: цена найдена, но сумма намеренно не выдумана до выпуска объёмов.</x:v>
      </x:c>
      <x:c r="I2" s="28" t="str">
        <x:v>Пустое количество означает: цена найдена, но сумма намеренно не выдумана до выпуска объёмов.</x:v>
      </x:c>
      <x:c r="J2" s="28" t="str">
        <x:v>Пустое количество означает: цена найдена, но сумма намеренно не выдумана до выпуска объёмов.</x:v>
      </x:c>
      <x:c r="K2" s="28" t="str">
        <x:v>Пустое количество означает: цена найдена, но сумма намеренно не выдумана до выпуска объёмов.</x:v>
      </x:c>
      <x:c r="L2" s="28" t="str">
        <x:v>Пустое количество означает: цена найдена, но сумма намеренно не выдумана до выпуска объёмов.</x:v>
      </x:c>
      <x:c r="M2" s="28" t="str">
        <x:v>Пустое количество означает: цена найдена, но сумма намеренно не выдумана до выпуска объёмов.</x:v>
      </x:c>
      <x:c r="N2" s="28" t="str">
        <x:v>Пустое количество означает: цена найдена, но сумма намеренно не выдумана до выпуска объёмов.</x:v>
      </x:c>
    </x:row>
    <x:row r="4">
      <x:c r="A4" s="10" t="str">
        <x:v>ID</x:v>
      </x:c>
      <x:c r="B4" s="32" t="str">
        <x:v>Раздел</x:v>
      </x:c>
      <x:c r="C4" s="32" t="str">
        <x:v>Этап</x:v>
      </x:c>
      <x:c r="D4" s="32" t="str">
        <x:v>Позиция</x:v>
      </x:c>
      <x:c r="E4" s="32" t="str">
        <x:v>Тип</x:v>
      </x:c>
      <x:c r="F4" s="32" t="str">
        <x:v>Ед.</x:v>
      </x:c>
      <x:c r="G4" s="32" t="str">
        <x:v>Количество</x:v>
      </x:c>
      <x:c r="H4" s="32" t="str">
        <x:v>Цена, ₽</x:v>
      </x:c>
      <x:c r="I4" s="32" t="str">
        <x:v>Стоимость, ₽</x:v>
      </x:c>
      <x:c r="J4" s="32" t="str">
        <x:v>Статус цены</x:v>
      </x:c>
      <x:c r="K4" s="32" t="str">
        <x:v>Регион источника</x:v>
      </x:c>
      <x:c r="L4" s="32" t="str">
        <x:v>Дата</x:v>
      </x:c>
      <x:c r="M4" s="32" t="str">
        <x:v>Источник</x:v>
      </x:c>
      <x:c r="N4" s="11" t="str">
        <x:v>Комментарий</x:v>
      </x:c>
    </x:row>
    <x:row r="5">
      <x:c r="A5" s="16" t="str">
        <x:v>M001</x:v>
      </x:c>
      <x:c r="B5" s="16" t="str">
        <x:v>Черновая отделка</x:v>
      </x:c>
      <x:c r="C5" s="16" t="str">
        <x:v>E07</x:v>
      </x:c>
      <x:c r="D5" s="16" t="str">
        <x:v>Штукатурка Knauf Ротбанд 30 кг</x:v>
      </x:c>
      <x:c r="E5" s="16" t="str">
        <x:v>Материал</x:v>
      </x:c>
      <x:c r="F5" s="16" t="str">
        <x:v>мешок</x:v>
      </x:c>
      <x:c r="G5" s="34"/>
      <x:c r="H5" s="34" t="n">
        <x:v>593</x:v>
      </x:c>
      <x:c r="I5" s="34" t="str">
        <x:f>IF(OR(G5="",H5=""),"",G5*H5)</x:f>
      </x:c>
      <x:c r="J5" s="16" t="str">
        <x:v>ПРЕДВАРИТЕЛЬНО</x:v>
      </x:c>
      <x:c r="K5" s="16" t="str">
        <x:v>Москва/сайт без выбранного объекта</x:v>
      </x:c>
      <x:c r="L5" s="17" t="n">
        <x:v>46232</x:v>
      </x:c>
      <x:c r="M5" s="16" t="str">
        <x:v>https://lemanapro.ru/catalogue/shtukaturki/</x:v>
      </x:c>
      <x:c r="N5" s="16" t="str">
        <x:v>Цена зависит от региона и партии</x:v>
      </x:c>
    </x:row>
    <x:row r="6">
      <x:c r="A6" s="16" t="str">
        <x:v>M002</x:v>
      </x:c>
      <x:c r="B6" s="16" t="str">
        <x:v>Черновая отделка</x:v>
      </x:c>
      <x:c r="C6" s="16" t="str">
        <x:v>E07</x:v>
      </x:c>
      <x:c r="D6" s="16" t="str">
        <x:v>Грунтовка Ceresit CT17 10 л</x:v>
      </x:c>
      <x:c r="E6" s="16" t="str">
        <x:v>Материал</x:v>
      </x:c>
      <x:c r="F6" s="16" t="str">
        <x:v>шт</x:v>
      </x:c>
      <x:c r="G6" s="34"/>
      <x:c r="H6" s="34" t="n">
        <x:v>1280</x:v>
      </x:c>
      <x:c r="I6" s="34" t="str">
        <x:f>IF(OR(G6="",H6=""),"",G6*H6)</x:f>
      </x:c>
      <x:c r="J6" s="16" t="str">
        <x:v>ПРЕДВАРИТЕЛЬНО</x:v>
      </x:c>
      <x:c r="K6" s="16" t="str">
        <x:v>Воронеж</x:v>
      </x:c>
      <x:c r="L6" s="17" t="n">
        <x:v>46232</x:v>
      </x:c>
      <x:c r="M6" s="16" t="str">
        <x:v>https://voronezh.lemanapro.ru/catalogue/gruntovki/akrilovye-glubokogo-proniknoveniya/</x:v>
      </x:c>
      <x:c r="N6" s="16" t="str">
        <x:v>Контрольная цена, заменить регионом объекта</x:v>
      </x:c>
    </x:row>
    <x:row r="7">
      <x:c r="A7" s="16" t="str">
        <x:v>M003</x:v>
      </x:c>
      <x:c r="B7" s="16" t="str">
        <x:v>Мокрые зоны</x:v>
      </x:c>
      <x:c r="C7" s="16" t="str">
        <x:v>E07</x:v>
      </x:c>
      <x:c r="D7" s="16" t="str">
        <x:v>Гидроизоляция Ceresit CL51 15 кг</x:v>
      </x:c>
      <x:c r="E7" s="16" t="str">
        <x:v>Материал</x:v>
      </x:c>
      <x:c r="F7" s="16" t="str">
        <x:v>шт</x:v>
      </x:c>
      <x:c r="G7" s="34"/>
      <x:c r="H7" s="34" t="n">
        <x:v>7300</x:v>
      </x:c>
      <x:c r="I7" s="34" t="str">
        <x:f>IF(OR(G7="",H7=""),"",G7*H7)</x:f>
      </x:c>
      <x:c r="J7" s="16" t="str">
        <x:v>ПРЕДВАРИТЕЛЬНО</x:v>
      </x:c>
      <x:c r="K7" s="16" t="str">
        <x:v>Ульяновск</x:v>
      </x:c>
      <x:c r="L7" s="17" t="n">
        <x:v>46232</x:v>
      </x:c>
      <x:c r="M7" s="16" t="str">
        <x:v>https://ulyanovsk.lemanapro.ru/product/mastika-gidroizolyacionnaya-polimernaya-cerezit-cl51-15-kg-82040516/</x:v>
      </x:c>
      <x:c r="N7" s="16" t="str">
        <x:v>Расход считать по системе производителя</x:v>
      </x:c>
    </x:row>
    <x:row r="8">
      <x:c r="A8" s="16" t="str">
        <x:v>M004</x:v>
      </x:c>
      <x:c r="B8" s="16" t="str">
        <x:v>Плитка</x:v>
      </x:c>
      <x:c r="C8" s="16" t="str">
        <x:v>E08</x:v>
      </x:c>
      <x:c r="D8" s="16" t="str">
        <x:v>Клей Ceresit CM11 Pro 25 кг</x:v>
      </x:c>
      <x:c r="E8" s="16" t="str">
        <x:v>Материал</x:v>
      </x:c>
      <x:c r="F8" s="16" t="str">
        <x:v>мешок</x:v>
      </x:c>
      <x:c r="G8" s="34"/>
      <x:c r="H8" s="34" t="n">
        <x:v>597</x:v>
      </x:c>
      <x:c r="I8" s="34" t="str">
        <x:f>IF(OR(G8="",H8=""),"",G8*H8)</x:f>
      </x:c>
      <x:c r="J8" s="16" t="str">
        <x:v>ПРЕДВАРИТЕЛЬНО</x:v>
      </x:c>
      <x:c r="K8" s="16" t="str">
        <x:v>Воронеж</x:v>
      </x:c>
      <x:c r="L8" s="17" t="n">
        <x:v>46232</x:v>
      </x:c>
      <x:c r="M8" s="16" t="str">
        <x:v>https://voronezh.lemanapro.ru/product/kley-dlya-plitki-cerezit-sm-11-25-kg-12779250/</x:v>
      </x:c>
      <x:c r="N8" s="16" t="str">
        <x:v>Выбор клея зависит от формата и основания</x:v>
      </x:c>
    </x:row>
    <x:row r="9">
      <x:c r="A9" s="16" t="str">
        <x:v>M005</x:v>
      </x:c>
      <x:c r="B9" s="16" t="str">
        <x:v>Электрика</x:v>
      </x:c>
      <x:c r="C9" s="16" t="str">
        <x:v>E06</x:v>
      </x:c>
      <x:c r="D9" s="16" t="str">
        <x:v>Кабель ВВГпнг(A)-LS 3×2,5 ГОСТ</x:v>
      </x:c>
      <x:c r="E9" s="16" t="str">
        <x:v>Материал</x:v>
      </x:c>
      <x:c r="F9" s="16" t="str">
        <x:v>м</x:v>
      </x:c>
      <x:c r="G9" s="34"/>
      <x:c r="H9" s="34" t="n">
        <x:v>107</x:v>
      </x:c>
      <x:c r="I9" s="34" t="str">
        <x:f>IF(OR(G9="",H9=""),"",G9*H9)</x:f>
      </x:c>
      <x:c r="J9" s="16" t="str">
        <x:v>ПРЕДВАРИТЕЛЬНО</x:v>
      </x:c>
      <x:c r="K9" s="16" t="str">
        <x:v>Воронеж</x:v>
      </x:c>
      <x:c r="L9" s="17" t="n">
        <x:v>46232</x:v>
      </x:c>
      <x:c r="M9" s="16" t="str">
        <x:v>https://voronezh.lemanapro.ru/catalogue/silovye-kabeli/vvg-3x2-5-mm-gost/</x:v>
      </x:c>
      <x:c r="N9" s="16" t="str">
        <x:v>Марка и сечение только по проекту электрики</x:v>
      </x:c>
    </x:row>
    <x:row r="10">
      <x:c r="A10" s="16" t="str">
        <x:v>W001</x:v>
      </x:c>
      <x:c r="B10" s="16" t="str">
        <x:v>Черновая отделка</x:v>
      </x:c>
      <x:c r="C10" s="16" t="str">
        <x:v>E07</x:v>
      </x:c>
      <x:c r="D10" s="16" t="str">
        <x:v>Механизированная штукатурка стен</x:v>
      </x:c>
      <x:c r="E10" s="16" t="str">
        <x:v>Работа</x:v>
      </x:c>
      <x:c r="F10" s="16" t="str">
        <x:v>м²</x:v>
      </x:c>
      <x:c r="G10" s="34"/>
      <x:c r="H10" s="34" t="n">
        <x:v>400</x:v>
      </x:c>
      <x:c r="I10" s="34" t="str">
        <x:f>IF(OR(G10="",H10=""),"",G10*H10)</x:f>
      </x:c>
      <x:c r="J10" s="16" t="str">
        <x:v>ОТ</x:v>
      </x:c>
      <x:c r="K10" s="16" t="str">
        <x:v>Ставрополь</x:v>
      </x:c>
      <x:c r="L10" s="17" t="n">
        <x:v>46232</x:v>
      </x:c>
      <x:c r="M10" s="16" t="str">
        <x:v>https://profi.ru/geo-stavropol/remont/malyarnye-shtukaturnye-raboty/shtukatury/price/</x:v>
      </x:c>
      <x:c r="N10" s="16" t="str">
        <x:v>Проверить материал, толщину, углы, сетку и откосы</x:v>
      </x:c>
    </x:row>
    <x:row r="11">
      <x:c r="A11" s="16" t="str">
        <x:v>W002</x:v>
      </x:c>
      <x:c r="B11" s="16" t="str">
        <x:v>Черновая отделка</x:v>
      </x:c>
      <x:c r="C11" s="16" t="str">
        <x:v>E07</x:v>
      </x:c>
      <x:c r="D11" s="16" t="str">
        <x:v>Штукатурка с выравниванием стен</x:v>
      </x:c>
      <x:c r="E11" s="16" t="str">
        <x:v>Работа</x:v>
      </x:c>
      <x:c r="F11" s="16" t="str">
        <x:v>м²</x:v>
      </x:c>
      <x:c r="G11" s="34"/>
      <x:c r="H11" s="34" t="n">
        <x:v>350</x:v>
      </x:c>
      <x:c r="I11" s="34" t="str">
        <x:f>IF(OR(G11="",H11=""),"",G11*H11)</x:f>
      </x:c>
      <x:c r="J11" s="16" t="str">
        <x:v>ОТ</x:v>
      </x:c>
      <x:c r="K11" s="16" t="str">
        <x:v>Ставрополь</x:v>
      </x:c>
      <x:c r="L11" s="17" t="n">
        <x:v>46232</x:v>
      </x:c>
      <x:c r="M11" s="16" t="str">
        <x:v>https://stavropol.korona-remont.ru/uslugi/shtukaturno-malyarnye-raboty</x:v>
      </x:c>
      <x:c r="N11" s="16" t="str">
        <x:v>Справочная цена; нужен осмотр и КП</x:v>
      </x:c>
    </x:row>
    <x:row r="12">
      <x:c r="A12" s="16" t="str">
        <x:v>W003</x:v>
      </x:c>
      <x:c r="B12" s="16" t="str">
        <x:v>Черновая отделка</x:v>
      </x:c>
      <x:c r="C12" s="16" t="str">
        <x:v>E07</x:v>
      </x:c>
      <x:c r="D12" s="16" t="str">
        <x:v>Штукатурка потолков</x:v>
      </x:c>
      <x:c r="E12" s="16" t="str">
        <x:v>Работа</x:v>
      </x:c>
      <x:c r="F12" s="16" t="str">
        <x:v>м²</x:v>
      </x:c>
      <x:c r="G12" s="34"/>
      <x:c r="H12" s="34" t="n">
        <x:v>900</x:v>
      </x:c>
      <x:c r="I12" s="34" t="str">
        <x:f>IF(OR(G12="",H12=""),"",G12*H12)</x:f>
      </x:c>
      <x:c r="J12" s="16" t="str">
        <x:v>ОТ</x:v>
      </x:c>
      <x:c r="K12" s="16" t="str">
        <x:v>Ставрополь</x:v>
      </x:c>
      <x:c r="L12" s="17" t="n">
        <x:v>46232</x:v>
      </x:c>
      <x:c r="M12" s="16" t="str">
        <x:v>https://profi.ru/geo-stavropol/remont/malyarnye-shtukaturnye-raboty/shtukatury/price/</x:v>
      </x:c>
      <x:c r="N12" s="16" t="str">
        <x:v>Тяжёлая мокрая операция; сравнить с ГКЛ-системой</x:v>
      </x:c>
    </x:row>
    <x:row r="13">
      <x:c r="A13" s="16" t="str">
        <x:v>W004</x:v>
      </x:c>
      <x:c r="B13" s="16" t="str">
        <x:v>Электрика</x:v>
      </x:c>
      <x:c r="C13" s="16" t="str">
        <x:v>E08</x:v>
      </x:c>
      <x:c r="D13" s="16" t="str">
        <x:v>Замена электророзетки</x:v>
      </x:c>
      <x:c r="E13" s="16" t="str">
        <x:v>Работа</x:v>
      </x:c>
      <x:c r="F13" s="16" t="str">
        <x:v>шт</x:v>
      </x:c>
      <x:c r="G13" s="34"/>
      <x:c r="H13" s="34" t="n">
        <x:v>500</x:v>
      </x:c>
      <x:c r="I13" s="34" t="str">
        <x:f>IF(OR(G13="",H13=""),"",G13*H13)</x:f>
      </x:c>
      <x:c r="J13" s="16" t="str">
        <x:v>ОТ</x:v>
      </x:c>
      <x:c r="K13" s="16" t="str">
        <x:v>Ставрополь</x:v>
      </x:c>
      <x:c r="L13" s="17" t="n">
        <x:v>46232</x:v>
      </x:c>
      <x:c r="M13" s="16" t="str">
        <x:v>https://stavropol.electric-doma.ru/</x:v>
      </x:c>
      <x:c r="N13" s="16" t="str">
        <x:v>Прайс на 01.05.2026; для нового монтажа нужен отдельный расчёт</x:v>
      </x:c>
    </x:row>
    <x:row r="14">
      <x:c r="A14" s="16" t="str">
        <x:v>W005</x:v>
      </x:c>
      <x:c r="B14" s="16" t="str">
        <x:v>Электрика</x:v>
      </x:c>
      <x:c r="C14" s="16" t="str">
        <x:v>E06</x:v>
      </x:c>
      <x:c r="D14" s="16" t="str">
        <x:v>Замена проводки на кухне</x:v>
      </x:c>
      <x:c r="E14" s="16" t="str">
        <x:v>Работа</x:v>
      </x:c>
      <x:c r="F14" s="16" t="str">
        <x:v>комплекс</x:v>
      </x:c>
      <x:c r="G14" s="34"/>
      <x:c r="H14" s="34" t="n">
        <x:v>3000</x:v>
      </x:c>
      <x:c r="I14" s="34" t="str">
        <x:f>IF(OR(G14="",H14=""),"",G14*H14)</x:f>
      </x:c>
      <x:c r="J14" s="16" t="str">
        <x:v>ОТ</x:v>
      </x:c>
      <x:c r="K14" s="16" t="str">
        <x:v>Ставрополь</x:v>
      </x:c>
      <x:c r="L14" s="17" t="n">
        <x:v>46232</x:v>
      </x:c>
      <x:c r="M14" s="16" t="str">
        <x:v>https://stavropol.electric-doma.ru/</x:v>
      </x:c>
      <x:c r="N14" s="16" t="str">
        <x:v>Не использовать как смету всего дома</x:v>
      </x:c>
    </x:row>
    <x:row r="15">
      <x:c r="A15" s="16" t="str">
        <x:v>W006</x:v>
      </x:c>
      <x:c r="B15" s="16" t="str">
        <x:v>Отопление</x:v>
      </x:c>
      <x:c r="C15" s="16" t="str">
        <x:v>E06</x:v>
      </x:c>
      <x:c r="D15" s="16" t="str">
        <x:v>Установка водяного тёплого пола</x:v>
      </x:c>
      <x:c r="E15" s="16" t="str">
        <x:v>Работа</x:v>
      </x:c>
      <x:c r="F15" s="16" t="str">
        <x:v>м²</x:v>
      </x:c>
      <x:c r="G15" s="34"/>
      <x:c r="H15" s="34" t="n">
        <x:v>400</x:v>
      </x:c>
      <x:c r="I15" s="34" t="str">
        <x:f>IF(OR(G15="",H15=""),"",G15*H15)</x:f>
      </x:c>
      <x:c r="J15" s="16" t="str">
        <x:v>ОТ</x:v>
      </x:c>
      <x:c r="K15" s="16" t="str">
        <x:v>Ставрополь</x:v>
      </x:c>
      <x:c r="L15" s="17" t="n">
        <x:v>46232</x:v>
      </x:c>
      <x:c r="M15" s="16" t="str">
        <x:v>https://stavropol.hands.ru/category/santekhnika/</x:v>
      </x:c>
      <x:c r="N15" s="16" t="str">
        <x:v>Верхняя граница на странице до 980 ₽/м²</x:v>
      </x:c>
    </x:row>
    <x:row r="16">
      <x:c r="A16" s="16" t="str">
        <x:v>W007</x:v>
      </x:c>
      <x:c r="B16" s="16" t="str">
        <x:v>Отопление</x:v>
      </x:c>
      <x:c r="C16" s="16" t="str">
        <x:v>E08</x:v>
      </x:c>
      <x:c r="D16" s="16" t="str">
        <x:v>Монтаж радиатора отопления</x:v>
      </x:c>
      <x:c r="E16" s="16" t="str">
        <x:v>Работа</x:v>
      </x:c>
      <x:c r="F16" s="16" t="str">
        <x:v>шт</x:v>
      </x:c>
      <x:c r="G16" s="34"/>
      <x:c r="H16" s="34" t="n">
        <x:v>2300</x:v>
      </x:c>
      <x:c r="I16" s="34" t="str">
        <x:f>IF(OR(G16="",H16=""),"",G16*H16)</x:f>
      </x:c>
      <x:c r="J16" s="16" t="str">
        <x:v>ОТ</x:v>
      </x:c>
      <x:c r="K16" s="16" t="str">
        <x:v>Ставрополь</x:v>
      </x:c>
      <x:c r="L16" s="17" t="n">
        <x:v>46232</x:v>
      </x:c>
      <x:c r="M16" s="16" t="str">
        <x:v>https://stavropol.hands.ru/category/santekhnika/</x:v>
      </x:c>
      <x:c r="N16" s="16" t="str">
        <x:v>Без материалов; узлы и опрессовка отдельно</x:v>
      </x:c>
    </x:row>
    <x:row r="17">
      <x:c r="A17" s="16" t="str">
        <x:v>W008</x:v>
      </x:c>
      <x:c r="B17" s="16" t="str">
        <x:v>Малярные работы</x:v>
      </x:c>
      <x:c r="C17" s="16" t="str">
        <x:v>E08</x:v>
      </x:c>
      <x:c r="D17" s="16" t="str">
        <x:v>Окраска стен в 2 слоя</x:v>
      </x:c>
      <x:c r="E17" s="16" t="str">
        <x:v>Работа</x:v>
      </x:c>
      <x:c r="F17" s="16" t="str">
        <x:v>м²</x:v>
      </x:c>
      <x:c r="G17" s="34"/>
      <x:c r="H17" s="34" t="n">
        <x:v>220</x:v>
      </x:c>
      <x:c r="I17" s="34" t="str">
        <x:f>IF(OR(G17="",H17=""),"",G17*H17)</x:f>
      </x:c>
      <x:c r="J17" s="16" t="str">
        <x:v>ПРАЙС</x:v>
      </x:c>
      <x:c r="K17" s="16" t="str">
        <x:v>Ставрополь</x:v>
      </x:c>
      <x:c r="L17" s="17" t="n">
        <x:v>46232</x:v>
      </x:c>
      <x:c r="M17" s="16" t="str">
        <x:v>https://semcorp.ru/price/steny/</x:v>
      </x:c>
      <x:c r="N17" s="16" t="str">
        <x:v>Подготовка основания считается отдельно</x:v>
      </x:c>
    </x:row>
    <x:row r="18">
      <x:c r="A18" s="16" t="str">
        <x:v>W009</x:v>
      </x:c>
      <x:c r="B18" s="16" t="str">
        <x:v>Малярные работы</x:v>
      </x:c>
      <x:c r="C18" s="16" t="str">
        <x:v>E08</x:v>
      </x:c>
      <x:c r="D18" s="16" t="str">
        <x:v>Декоративная штукатурка стен</x:v>
      </x:c>
      <x:c r="E18" s="16" t="str">
        <x:v>Работа</x:v>
      </x:c>
      <x:c r="F18" s="16" t="str">
        <x:v>м²</x:v>
      </x:c>
      <x:c r="G18" s="34"/>
      <x:c r="H18" s="34" t="n">
        <x:v>500</x:v>
      </x:c>
      <x:c r="I18" s="34" t="str">
        <x:f>IF(OR(G18="",H18=""),"",G18*H18)</x:f>
      </x:c>
      <x:c r="J18" s="16" t="str">
        <x:v>ОТ</x:v>
      </x:c>
      <x:c r="K18" s="16" t="str">
        <x:v>Ставрополь</x:v>
      </x:c>
      <x:c r="L18" s="17" t="n">
        <x:v>46232</x:v>
      </x:c>
      <x:c r="M18" s="16" t="str">
        <x:v>https://semcorp.ru/price/steny/</x:v>
      </x:c>
      <x:c r="N18" s="16" t="str">
        <x:v>Сначала утвердить образец 1×1 м</x:v>
      </x:c>
    </x:row>
    <x:row r="19">
      <x:c r="A19" s="16" t="str">
        <x:v>W010</x:v>
      </x:c>
      <x:c r="B19" s="16" t="str">
        <x:v>Демонтаж</x:v>
      </x:c>
      <x:c r="C19" s="16" t="str">
        <x:v>E05</x:v>
      </x:c>
      <x:c r="D19" s="16" t="str">
        <x:v>Демонтаж кирпичной стены в 1/2 кирпича</x:v>
      </x:c>
      <x:c r="E19" s="16" t="str">
        <x:v>Работа</x:v>
      </x:c>
      <x:c r="F19" s="16" t="str">
        <x:v>м²</x:v>
      </x:c>
      <x:c r="G19" s="34"/>
      <x:c r="H19" s="34" t="n">
        <x:v>350</x:v>
      </x:c>
      <x:c r="I19" s="34" t="str">
        <x:f>IF(OR(G19="",H19=""),"",G19*H19)</x:f>
      </x:c>
      <x:c r="J19" s="16" t="str">
        <x:v>ПРАЙС</x:v>
      </x:c>
      <x:c r="K19" s="16" t="str">
        <x:v>Ставрополь</x:v>
      </x:c>
      <x:c r="L19" s="17" t="n">
        <x:v>46232</x:v>
      </x:c>
      <x:c r="M19" s="16" t="str">
        <x:v>https://semcorp.ru/price/steny/</x:v>
      </x:c>
      <x:c r="N19" s="16" t="str">
        <x:v>Несущие конструкции только по проекту</x:v>
      </x:c>
    </x:row>
    <x:row r="20">
      <x:c r="A20" s="16" t="str">
        <x:v>W011</x:v>
      </x:c>
      <x:c r="B20" s="16" t="str">
        <x:v>Потолки</x:v>
      </x:c>
      <x:c r="C20" s="16" t="str">
        <x:v>E08</x:v>
      </x:c>
      <x:c r="D20" s="16" t="str">
        <x:v>Натяжной потолок с установкой и материалом</x:v>
      </x:c>
      <x:c r="E20" s="16" t="str">
        <x:v>Работа+материал</x:v>
      </x:c>
      <x:c r="F20" s="16" t="str">
        <x:v>м²</x:v>
      </x:c>
      <x:c r="G20" s="34"/>
      <x:c r="H20" s="34" t="n">
        <x:v>280</x:v>
      </x:c>
      <x:c r="I20" s="34" t="str">
        <x:f>IF(OR(G20="",H20=""),"",G20*H20)</x:f>
      </x:c>
      <x:c r="J20" s="16" t="str">
        <x:v>ОТ</x:v>
      </x:c>
      <x:c r="K20" s="16" t="str">
        <x:v>Ставрополь</x:v>
      </x:c>
      <x:c r="L20" s="17" t="n">
        <x:v>46233</x:v>
      </x:c>
      <x:c r="M20" s="16" t="str">
        <x:v>https://potolokstavropol.ru/</x:v>
      </x:c>
      <x:c r="N20" s="16" t="str">
        <x:v>Публичный диапазон 280–700 ₽/м²; световые линии, карнизы, люки и сложные узлы отдельно</x:v>
      </x:c>
    </x:row>
    <x:row r="21">
      <x:c r="A21" s="16" t="str">
        <x:v>F001</x:v>
      </x:c>
      <x:c r="B21" s="16" t="str">
        <x:v>Кухня</x:v>
      </x:c>
      <x:c r="C21" s="16" t="str">
        <x:v>E09</x:v>
      </x:c>
      <x:c r="D21" s="16" t="str">
        <x:v>Кухня Мария «Айс» — базовый ориентир</x:v>
      </x:c>
      <x:c r="E21" s="16" t="str">
        <x:v>Мебель</x:v>
      </x:c>
      <x:c r="F21" s="16" t="str">
        <x:v>комплект</x:v>
      </x:c>
      <x:c r="G21" s="34" t="n">
        <x:v>1</x:v>
      </x:c>
      <x:c r="H21" s="34" t="n">
        <x:v>150000</x:v>
      </x:c>
      <x:c r="I21" s="34" t="n">
        <x:f>IF(OR(G21="",H21=""),"",G21*H21)</x:f>
        <x:v>150000</x:v>
      </x:c>
      <x:c r="J21" s="16" t="str">
        <x:v>ОТ</x:v>
      </x:c>
      <x:c r="K21" s="16" t="str">
        <x:v>Ставрополь</x:v>
      </x:c>
      <x:c r="L21" s="17" t="n">
        <x:v>46233</x:v>
      </x:c>
      <x:c r="M21" s="16" t="str">
        <x:v>https://stavropol.marya.ru/price/</x:v>
      </x:c>
      <x:c r="N21" s="16" t="str">
        <x:v>Фактическая цена после дизайн-проекта, фурнитуры, столешницы, монтажа и техники</x:v>
      </x:c>
    </x:row>
    <x:row r="22">
      <x:c r="A22" s="16" t="str">
        <x:v>F007</x:v>
      </x:c>
      <x:c r="B22" s="16" t="str">
        <x:v>Кухня/мебель</x:v>
      </x:c>
      <x:c r="C22" s="16" t="str">
        <x:v>E09</x:v>
      </x:c>
      <x:c r="D22" s="16" t="str">
        <x:v>Мебель на заказ — местный производитель, ценовой порог кухни</x:v>
      </x:c>
      <x:c r="E22" s="16" t="str">
        <x:v>Мебель</x:v>
      </x:c>
      <x:c r="F22" s="16" t="str">
        <x:v>комплект</x:v>
      </x:c>
      <x:c r="G22" s="34"/>
      <x:c r="H22" s="34" t="n">
        <x:v>80000</x:v>
      </x:c>
      <x:c r="I22" s="34" t="str">
        <x:f>IF(OR(G22="",H22=""),"",G22*H22)</x:f>
      </x:c>
      <x:c r="J22" s="16" t="str">
        <x:v>ОТ</x:v>
      </x:c>
      <x:c r="K22" s="16" t="str">
        <x:v>Ставрополь</x:v>
      </x:c>
      <x:c r="L22" s="17" t="n">
        <x:v>46233</x:v>
      </x:c>
      <x:c r="M22" s="16" t="str">
        <x:v>https://mebelnazakaz26.ru/</x:v>
      </x:c>
      <x:c r="N22" s="16" t="str">
        <x:v>Кандидат; сравнить материалы, фурнитуру, чертежи, договор, монтаж и реальные объекты</x:v>
      </x:c>
    </x:row>
    <x:row r="23">
      <x:c r="A23" s="16" t="str">
        <x:v>F002</x:v>
      </x:c>
      <x:c r="B23" s="16" t="str">
        <x:v>Гостиная</x:v>
      </x:c>
      <x:c r="C23" s="16" t="str">
        <x:v>E09</x:v>
      </x:c>
      <x:c r="D23" s="16" t="str">
        <x:v>Диван угловой Вайвел-П Lazy Beige</x:v>
      </x:c>
      <x:c r="E23" s="16" t="str">
        <x:v>Мебель</x:v>
      </x:c>
      <x:c r="F23" s="16" t="str">
        <x:v>шт</x:v>
      </x:c>
      <x:c r="G23" s="34" t="n">
        <x:v>1</x:v>
      </x:c>
      <x:c r="H23" s="34" t="n">
        <x:v>99440</x:v>
      </x:c>
      <x:c r="I23" s="34" t="n">
        <x:f>IF(OR(G23="",H23=""),"",G23*H23)</x:f>
        <x:v>99440</x:v>
      </x:c>
      <x:c r="J23" s="16" t="str">
        <x:v>ПРЕДВАРИТЕЛЬНО</x:v>
      </x:c>
      <x:c r="K23" s="16" t="str">
        <x:v>Ставрополь</x:v>
      </x:c>
      <x:c r="L23" s="17" t="n">
        <x:v>46232</x:v>
      </x:c>
      <x:c r="M23" s="16" t="str">
        <x:v>https://www.divan.ru/stavropol/</x:v>
      </x:c>
      <x:c r="N23" s="16" t="str">
        <x:v>Тёплый нейтральный текстиль; проверить габарит в плане</x:v>
      </x:c>
    </x:row>
    <x:row r="24">
      <x:c r="A24" s="16" t="str">
        <x:v>F003</x:v>
      </x:c>
      <x:c r="B24" s="16" t="str">
        <x:v>Спальня</x:v>
      </x:c>
      <x:c r="C24" s="16" t="str">
        <x:v>E09</x:v>
      </x:c>
      <x:c r="D24" s="16" t="str">
        <x:v>Кровать Агами 160 Bucle Cloud</x:v>
      </x:c>
      <x:c r="E24" s="16" t="str">
        <x:v>Мебель</x:v>
      </x:c>
      <x:c r="F24" s="16" t="str">
        <x:v>шт</x:v>
      </x:c>
      <x:c r="G24" s="34" t="n">
        <x:v>1</x:v>
      </x:c>
      <x:c r="H24" s="34" t="n">
        <x:v>76040</x:v>
      </x:c>
      <x:c r="I24" s="34" t="n">
        <x:f>IF(OR(G24="",H24=""),"",G24*H24)</x:f>
        <x:v>76040</x:v>
      </x:c>
      <x:c r="J24" s="16" t="str">
        <x:v>ПРЕДВАРИТЕЛЬНО</x:v>
      </x:c>
      <x:c r="K24" s="16" t="str">
        <x:v>Ставрополь</x:v>
      </x:c>
      <x:c r="L24" s="17" t="n">
        <x:v>46232</x:v>
      </x:c>
      <x:c r="M24" s="16" t="str">
        <x:v>https://www.divan.ru/stavropol/</x:v>
      </x:c>
      <x:c r="N24" s="16" t="str">
        <x:v>Спокойная фактура; матрас считается отдельно</x:v>
      </x:c>
    </x:row>
    <x:row r="25">
      <x:c r="A25" s="16" t="str">
        <x:v>F004</x:v>
      </x:c>
      <x:c r="B25" s="16" t="str">
        <x:v>Столовая</x:v>
      </x:c>
      <x:c r="C25" s="16" t="str">
        <x:v>E09</x:v>
      </x:c>
      <x:c r="D25" s="16" t="str">
        <x:v>Стул Одар-1 Рогожка Бежевый/Натуральный</x:v>
      </x:c>
      <x:c r="E25" s="16" t="str">
        <x:v>Мебель</x:v>
      </x:c>
      <x:c r="F25" s="16" t="str">
        <x:v>шт</x:v>
      </x:c>
      <x:c r="G25" s="34" t="n">
        <x:v>6</x:v>
      </x:c>
      <x:c r="H25" s="34" t="n">
        <x:v>15820</x:v>
      </x:c>
      <x:c r="I25" s="34" t="n">
        <x:f>IF(OR(G25="",H25=""),"",G25*H25)</x:f>
        <x:v>94920</x:v>
      </x:c>
      <x:c r="J25" s="16" t="str">
        <x:v>ПРЕДВАРИТЕЛЬНО</x:v>
      </x:c>
      <x:c r="K25" s="16" t="str">
        <x:v>Ставрополь</x:v>
      </x:c>
      <x:c r="L25" s="17" t="n">
        <x:v>46232</x:v>
      </x:c>
      <x:c r="M25" s="16" t="str">
        <x:v>https://www.divan.ru/stavropol/category/stulay-dlay-stolovoj</x:v>
      </x:c>
      <x:c r="N25" s="16" t="str">
        <x:v>Внутренняя столовая; не использовать во влажной мангальной</x:v>
      </x:c>
    </x:row>
    <x:row r="26">
      <x:c r="A26" s="16" t="str">
        <x:v>F005</x:v>
      </x:c>
      <x:c r="B26" s="16" t="str">
        <x:v>Гостиная</x:v>
      </x:c>
      <x:c r="C26" s="16" t="str">
        <x:v>E09</x:v>
      </x:c>
      <x:c r="D26" s="16" t="str">
        <x:v>Журнальный стол Тампа-2 Grafit</x:v>
      </x:c>
      <x:c r="E26" s="16" t="str">
        <x:v>Мебель</x:v>
      </x:c>
      <x:c r="F26" s="16" t="str">
        <x:v>шт</x:v>
      </x:c>
      <x:c r="G26" s="34" t="n">
        <x:v>2</x:v>
      </x:c>
      <x:c r="H26" s="34" t="n">
        <x:v>10520</x:v>
      </x:c>
      <x:c r="I26" s="34" t="n">
        <x:f>IF(OR(G26="",H26=""),"",G26*H26)</x:f>
        <x:v>21040</x:v>
      </x:c>
      <x:c r="J26" s="16" t="str">
        <x:v>ПРЕДВАРИТЕЛЬНО</x:v>
      </x:c>
      <x:c r="K26" s="16" t="str">
        <x:v>Ставрополь</x:v>
      </x:c>
      <x:c r="L26" s="17" t="n">
        <x:v>46232</x:v>
      </x:c>
      <x:c r="M26" s="16" t="str">
        <x:v>https://www.divan.ru/stavropol/category/zurnalnye-stoliki</x:v>
      </x:c>
      <x:c r="N26" s="16" t="str">
        <x:v>Графит поддерживает рамы и металл фасада</x:v>
      </x:c>
    </x:row>
    <x:row r="27">
      <x:c r="A27" s="16" t="str">
        <x:v>F006</x:v>
      </x:c>
      <x:c r="B27" s="16" t="str">
        <x:v>Декор</x:v>
      </x:c>
      <x:c r="C27" s="16" t="str">
        <x:v>E09</x:v>
      </x:c>
      <x:c r="D27" s="16" t="str">
        <x:v>Картина Рельеф Bordo Lines</x:v>
      </x:c>
      <x:c r="E27" s="16" t="str">
        <x:v>Декор</x:v>
      </x:c>
      <x:c r="F27" s="16" t="str">
        <x:v>шт</x:v>
      </x:c>
      <x:c r="G27" s="34" t="n">
        <x:v>1</x:v>
      </x:c>
      <x:c r="H27" s="34" t="n">
        <x:v>4670</x:v>
      </x:c>
      <x:c r="I27" s="34" t="n">
        <x:f>IF(OR(G27="",H27=""),"",G27*H27)</x:f>
        <x:v>4670</x:v>
      </x:c>
      <x:c r="J27" s="16" t="str">
        <x:v>ПРЕДВАРИТЕЛЬНО</x:v>
      </x:c>
      <x:c r="K27" s="16" t="str">
        <x:v>Ставрополь</x:v>
      </x:c>
      <x:c r="L27" s="17" t="n">
        <x:v>46232</x:v>
      </x:c>
      <x:c r="M27" s="16" t="str">
        <x:v>https://www.divan.ru/stavropol/</x:v>
      </x:c>
      <x:c r="N27" s="16" t="str">
        <x:v>Акцент в гостиной; окончательно после колористики</x:v>
      </x:c>
    </x:row>
    <x:row r="28">
      <x:c r="A28" s="16" t="str">
        <x:v>S001</x:v>
      </x:c>
      <x:c r="B28" s="16" t="str">
        <x:v>Санузел</x:v>
      </x:c>
      <x:c r="C28" s="16" t="str">
        <x:v>E09</x:v>
      </x:c>
      <x:c r="D28" s="16" t="str">
        <x:v>Инсталляция Grohe Rapid SL Solido 3-в-1</x:v>
      </x:c>
      <x:c r="E28" s="16" t="str">
        <x:v>Сантехника</x:v>
      </x:c>
      <x:c r="F28" s="16" t="str">
        <x:v>шт</x:v>
      </x:c>
      <x:c r="G28" s="34" t="n">
        <x:v>2</x:v>
      </x:c>
      <x:c r="H28" s="34" t="n">
        <x:v>23612</x:v>
      </x:c>
      <x:c r="I28" s="34" t="n">
        <x:f>IF(OR(G28="",H28=""),"",G28*H28)</x:f>
        <x:v>47224</x:v>
      </x:c>
      <x:c r="J28" s="16" t="str">
        <x:v>ПРЕДВАРИТЕЛЬНО</x:v>
      </x:c>
      <x:c r="K28" s="16" t="str">
        <x:v>Ставрополь</x:v>
      </x:c>
      <x:c r="L28" s="17" t="n">
        <x:v>46232</x:v>
      </x:c>
      <x:c r="M28" s="16" t="str">
        <x:v>https://stavropol.santehmega.com/</x:v>
      </x:c>
      <x:c r="N28" s="16" t="str">
        <x:v>Проверить комплектность и клавишу</x:v>
      </x:c>
    </x:row>
    <x:row r="29">
      <x:c r="A29" s="16" t="str">
        <x:v>S002</x:v>
      </x:c>
      <x:c r="B29" s="16" t="str">
        <x:v>Санузел</x:v>
      </x:c>
      <x:c r="C29" s="16" t="str">
        <x:v>E09</x:v>
      </x:c>
      <x:c r="D29" s="16" t="str">
        <x:v>Душевой уголок AM.PM Above 120×80</x:v>
      </x:c>
      <x:c r="E29" s="16" t="str">
        <x:v>Сантехника</x:v>
      </x:c>
      <x:c r="F29" s="16" t="str">
        <x:v>шт</x:v>
      </x:c>
      <x:c r="G29" s="34" t="n">
        <x:v>1</x:v>
      </x:c>
      <x:c r="H29" s="34" t="n">
        <x:v>27490</x:v>
      </x:c>
      <x:c r="I29" s="34" t="n">
        <x:f>IF(OR(G29="",H29=""),"",G29*H29)</x:f>
        <x:v>27490</x:v>
      </x:c>
      <x:c r="J29" s="16" t="str">
        <x:v>ПРЕДВАРИТЕЛЬНО</x:v>
      </x:c>
      <x:c r="K29" s="16" t="str">
        <x:v>Ставрополь</x:v>
      </x:c>
      <x:c r="L29" s="17" t="n">
        <x:v>46232</x:v>
      </x:c>
      <x:c r="M29" s="16" t="str">
        <x:v>https://stavropol.santehnica.ru/</x:v>
      </x:c>
      <x:c r="N29" s="16" t="str">
        <x:v>Прозрачное стекло сохраняет свет и масштаб</x:v>
      </x:c>
    </x:row>
    <x:row r="30">
      <x:c r="A30" s="16" t="str">
        <x:v>S003</x:v>
      </x:c>
      <x:c r="B30" s="16" t="str">
        <x:v>Санузел</x:v>
      </x:c>
      <x:c r="C30" s="16" t="str">
        <x:v>E09</x:v>
      </x:c>
      <x:c r="D30" s="16" t="str">
        <x:v>Душевая система AM.PM Crave</x:v>
      </x:c>
      <x:c r="E30" s="16" t="str">
        <x:v>Сантехника</x:v>
      </x:c>
      <x:c r="F30" s="16" t="str">
        <x:v>шт</x:v>
      </x:c>
      <x:c r="G30" s="34" t="n">
        <x:v>1</x:v>
      </x:c>
      <x:c r="H30" s="34" t="n">
        <x:v>23890</x:v>
      </x:c>
      <x:c r="I30" s="34" t="n">
        <x:f>IF(OR(G30="",H30=""),"",G30*H30)</x:f>
        <x:v>23890</x:v>
      </x:c>
      <x:c r="J30" s="16" t="str">
        <x:v>ПРЕДВАРИТЕЛЬНО</x:v>
      </x:c>
      <x:c r="K30" s="16" t="str">
        <x:v>Ставрополь</x:v>
      </x:c>
      <x:c r="L30" s="17" t="n">
        <x:v>46232</x:v>
      </x:c>
      <x:c r="M30" s="16" t="str">
        <x:v>https://stavropol.santehnica.ru/</x:v>
      </x:c>
      <x:c r="N30" s="16" t="str">
        <x:v>Хром нейтрален; скрытый монтаж выбирается до разводки</x:v>
      </x:c>
    </x:row>
    <x:row r="31">
      <x:c r="A31" s="16" t="str">
        <x:v>S004</x:v>
      </x:c>
      <x:c r="B31" s="16" t="str">
        <x:v>Санузел</x:v>
      </x:c>
      <x:c r="C31" s="16" t="str">
        <x:v>E09</x:v>
      </x:c>
      <x:c r="D31" s="16" t="str">
        <x:v>Тумба Мадрид Квадро 60 дуб + раковина</x:v>
      </x:c>
      <x:c r="E31" s="16" t="str">
        <x:v>Сантехника/мебель</x:v>
      </x:c>
      <x:c r="F31" s="16" t="str">
        <x:v>шт</x:v>
      </x:c>
      <x:c r="G31" s="34" t="n">
        <x:v>1</x:v>
      </x:c>
      <x:c r="H31" s="34" t="n">
        <x:v>20900</x:v>
      </x:c>
      <x:c r="I31" s="34" t="n">
        <x:f>IF(OR(G31="",H31=""),"",G31*H31)</x:f>
        <x:v>20900</x:v>
      </x:c>
      <x:c r="J31" s="16" t="str">
        <x:v>ПРЕДВАРИТЕЛЬНО</x:v>
      </x:c>
      <x:c r="K31" s="16" t="str">
        <x:v>Ставрополь</x:v>
      </x:c>
      <x:c r="L31" s="17" t="n">
        <x:v>46232</x:v>
      </x:c>
      <x:c r="M31" s="16" t="str">
        <x:v>https://stavropol.lemanapro.ru/set/tumba-pod-rakovinu-madrid-kvadro-60-sm-cvet-dub-s-rakovinoy-sanita-luxe-kvadro-60-89432275/</x:v>
      </x:c>
      <x:c r="N31" s="16" t="str">
        <x:v>Дуб связывает санузел с общей палитрой</x:v>
      </x:c>
    </x:row>
    <x:row r="32">
      <x:c r="A32" s="16" t="str">
        <x:v>L001</x:v>
      </x:c>
      <x:c r="B32" s="16" t="str">
        <x:v>Освещение</x:v>
      </x:c>
      <x:c r="C32" s="16" t="str">
        <x:v>E09</x:v>
      </x:c>
      <x:c r="D32" s="16" t="str">
        <x:v>Комплект Freya Blissa: бра + люстра, бронза</x:v>
      </x:c>
      <x:c r="E32" s="16" t="str">
        <x:v>Свет</x:v>
      </x:c>
      <x:c r="F32" s="16" t="str">
        <x:v>комплект</x:v>
      </x:c>
      <x:c r="G32" s="34" t="n">
        <x:v>1</x:v>
      </x:c>
      <x:c r="H32" s="34" t="n">
        <x:v>10238</x:v>
      </x:c>
      <x:c r="I32" s="34" t="n">
        <x:f>IF(OR(G32="",H32=""),"",G32*H32)</x:f>
        <x:v>10238</x:v>
      </x:c>
      <x:c r="J32" s="16" t="str">
        <x:v>ПРЕДВАРИТЕЛЬНО</x:v>
      </x:c>
      <x:c r="K32" s="16" t="str">
        <x:v>Ставрополь</x:v>
      </x:c>
      <x:c r="L32" s="17" t="n">
        <x:v>46232</x:v>
      </x:c>
      <x:c r="M32" s="16" t="str">
        <x:v>https://stavropol.lemanapro.ru/set/komplekt-dekorativnogo-osveshcheniya-freya-blissa-bra-lyustra-3-rozhka-cvet-bronza-89468701/</x:v>
      </x:c>
      <x:c r="N32" s="16" t="str">
        <x:v>Только для камерной зоны; проверить 3000K лампы и масштаб</x:v>
      </x:c>
    </x:row>
    <x:row r="33">
      <x:c r="A33" s="16" t="str">
        <x:v>G001</x:v>
      </x:c>
      <x:c r="B33" s="16" t="str">
        <x:v>Газ/отопление</x:v>
      </x:c>
      <x:c r="C33" s="16" t="str">
        <x:v>E04</x:v>
      </x:c>
      <x:c r="D33" s="16" t="str">
        <x:v>Газовый котёл Ferroli Torino 25 кВт — ценовой ориентир</x:v>
      </x:c>
      <x:c r="E33" s="16" t="str">
        <x:v>Оборудование</x:v>
      </x:c>
      <x:c r="F33" s="16" t="str">
        <x:v>шт</x:v>
      </x:c>
      <x:c r="G33" s="34"/>
      <x:c r="H33" s="34" t="n">
        <x:v>50525</x:v>
      </x:c>
      <x:c r="I33" s="34" t="str">
        <x:f>IF(OR(G33="",H33=""),"",G33*H33)</x:f>
      </x:c>
      <x:c r="J33" s="16" t="str">
        <x:v>НЕ ВЫБРАНО</x:v>
      </x:c>
      <x:c r="K33" s="16" t="str">
        <x:v>Ставрополь</x:v>
      </x:c>
      <x:c r="L33" s="17" t="n">
        <x:v>46232</x:v>
      </x:c>
      <x:c r="M33" s="16" t="str">
        <x:v>https://stavropol.lemanapro.ru/catalogue/kotly-otopitelnye-gazovye/25-kvt/</x:v>
      </x:c>
      <x:c r="N33" s="16" t="str">
        <x:v>Мощность и модель только после расчёта и ТУ</x:v>
      </x:c>
    </x:row>
    <x:row r="34">
      <x:c r="A34" s="16" t="str">
        <x:v>Q001</x:v>
      </x:c>
      <x:c r="B34" s="16" t="str">
        <x:v>Подготовка</x:v>
      </x:c>
      <x:c r="C34" s="16" t="str">
        <x:v>E05</x:v>
      </x:c>
      <x:c r="D34" s="16" t="str">
        <x:v>Защита, временный свет/вода, вывоз отходов</x:v>
      </x:c>
      <x:c r="E34" s="16" t="str">
        <x:v>Работа+материал</x:v>
      </x:c>
      <x:c r="F34" s="16" t="str">
        <x:v>комплекс</x:v>
      </x:c>
      <x:c r="G34" s="34"/>
      <x:c r="H34" s="34"/>
      <x:c r="I34" s="34" t="str">
        <x:f>IF(OR(G34="",H34=""),"",G34*H34)</x:f>
      </x:c>
      <x:c r="J34" s="16" t="str">
        <x:v>НУЖНО 3 КП</x:v>
      </x:c>
      <x:c r="K34" s="16" t="str">
        <x:v>Регион объекта</x:v>
      </x:c>
      <x:c r="L34" s="17"/>
      <x:c r="M34" s="16" t="str"/>
      <x:c r="N34" s="16" t="str">
        <x:v>Цена после обследования</x:v>
      </x:c>
    </x:row>
    <x:row r="35">
      <x:c r="A35" s="16" t="str">
        <x:v>Q002</x:v>
      </x:c>
      <x:c r="B35" s="16" t="str">
        <x:v>Конструктив</x:v>
      </x:c>
      <x:c r="C35" s="16" t="str">
        <x:v>E05</x:v>
      </x:c>
      <x:c r="D35" s="16" t="str">
        <x:v>Проём детской, усиление и новый балкон</x:v>
      </x:c>
      <x:c r="E35" s="16" t="str">
        <x:v>Работа+материал</x:v>
      </x:c>
      <x:c r="F35" s="16" t="str">
        <x:v>комплекс</x:v>
      </x:c>
      <x:c r="G35" s="34"/>
      <x:c r="H35" s="34"/>
      <x:c r="I35" s="34" t="str">
        <x:f>IF(OR(G35="",H35=""),"",G35*H35)</x:f>
      </x:c>
      <x:c r="J35" s="16" t="str">
        <x:v>BLOCKED</x:v>
      </x:c>
      <x:c r="K35" s="16" t="str">
        <x:v>Регион объекта</x:v>
      </x:c>
      <x:c r="L35" s="17"/>
      <x:c r="M35" s="16" t="str"/>
      <x:c r="N35" s="16" t="str">
        <x:v>Сначала расчёт конструктора</x:v>
      </x:c>
    </x:row>
    <x:row r="36">
      <x:c r="A36" s="16" t="str">
        <x:v>Q003</x:v>
      </x:c>
      <x:c r="B36" s="16" t="str">
        <x:v>Перегородки</x:v>
      </x:c>
      <x:c r="C36" s="16" t="str">
        <x:v>E06</x:v>
      </x:c>
      <x:c r="D36" s="16" t="str">
        <x:v>Перегородки и закладные</x:v>
      </x:c>
      <x:c r="E36" s="16" t="str">
        <x:v>Работа+материал</x:v>
      </x:c>
      <x:c r="F36" s="16" t="str">
        <x:v>м²</x:v>
      </x:c>
      <x:c r="G36" s="34"/>
      <x:c r="H36" s="34"/>
      <x:c r="I36" s="34" t="str">
        <x:f>IF(OR(G36="",H36=""),"",G36*H36)</x:f>
      </x:c>
      <x:c r="J36" s="16" t="str">
        <x:v>НУЖНО 3 КП</x:v>
      </x:c>
      <x:c r="K36" s="16" t="str">
        <x:v>Регион объекта</x:v>
      </x:c>
      <x:c r="L36" s="17"/>
      <x:c r="M36" s="16" t="str"/>
      <x:c r="N36" s="16" t="str">
        <x:v>Материал определяется проектом</x:v>
      </x:c>
    </x:row>
    <x:row r="37">
      <x:c r="A37" s="16" t="str">
        <x:v>Q004</x:v>
      </x:c>
      <x:c r="B37" s="16" t="str">
        <x:v>Полы</x:v>
      </x:c>
      <x:c r="C37" s="16" t="str">
        <x:v>E07</x:v>
      </x:c>
      <x:c r="D37" s="16" t="str">
        <x:v>Стяжка/наливной пол</x:v>
      </x:c>
      <x:c r="E37" s="16" t="str">
        <x:v>Работа+материал</x:v>
      </x:c>
      <x:c r="F37" s="16" t="str">
        <x:v>м²</x:v>
      </x:c>
      <x:c r="G37" s="34"/>
      <x:c r="H37" s="34"/>
      <x:c r="I37" s="34" t="str">
        <x:f>IF(OR(G37="",H37=""),"",G37*H37)</x:f>
      </x:c>
      <x:c r="J37" s="16" t="str">
        <x:v>НУЖНО 3 КП</x:v>
      </x:c>
      <x:c r="K37" s="16" t="str">
        <x:v>Регион объекта</x:v>
      </x:c>
      <x:c r="L37" s="17"/>
      <x:c r="M37" s="16" t="str"/>
      <x:c r="N37" s="16" t="str">
        <x:v>Нужны отметки и средняя толщина</x:v>
      </x:c>
    </x:row>
    <x:row r="38">
      <x:c r="A38" s="16" t="str">
        <x:v>Q005</x:v>
      </x:c>
      <x:c r="B38" s="16" t="str">
        <x:v>Плитка</x:v>
      </x:c>
      <x:c r="C38" s="16" t="str">
        <x:v>E08</x:v>
      </x:c>
      <x:c r="D38" s="16" t="str">
        <x:v>Укладка плитки и затирка</x:v>
      </x:c>
      <x:c r="E38" s="16" t="str">
        <x:v>Работа</x:v>
      </x:c>
      <x:c r="F38" s="16" t="str">
        <x:v>м²</x:v>
      </x:c>
      <x:c r="G38" s="34"/>
      <x:c r="H38" s="34"/>
      <x:c r="I38" s="34" t="str">
        <x:f>IF(OR(G38="",H38=""),"",G38*H38)</x:f>
      </x:c>
      <x:c r="J38" s="16" t="str">
        <x:v>НУЖНО 3 КП</x:v>
      </x:c>
      <x:c r="K38" s="16" t="str">
        <x:v>Регион объекта</x:v>
      </x:c>
      <x:c r="L38" s="17"/>
      <x:c r="M38" s="16" t="str"/>
      <x:c r="N38" s="16" t="str">
        <x:v>Цена зависит от формата и раскладки</x:v>
      </x:c>
    </x:row>
    <x:row r="39">
      <x:c r="A39" s="16" t="str">
        <x:v>Q006</x:v>
      </x:c>
      <x:c r="B39" s="16" t="str">
        <x:v>Малярные работы</x:v>
      </x:c>
      <x:c r="C39" s="16" t="str">
        <x:v>E08</x:v>
      </x:c>
      <x:c r="D39" s="16" t="str">
        <x:v>Шпаклёвка, стеклохолст, покраска</x:v>
      </x:c>
      <x:c r="E39" s="16" t="str">
        <x:v>Работа+материал</x:v>
      </x:c>
      <x:c r="F39" s="16" t="str">
        <x:v>м²</x:v>
      </x:c>
      <x:c r="G39" s="34"/>
      <x:c r="H39" s="34"/>
      <x:c r="I39" s="34" t="str">
        <x:f>IF(OR(G39="",H39=""),"",G39*H39)</x:f>
      </x:c>
      <x:c r="J39" s="16" t="str">
        <x:v>НУЖНО 3 КП</x:v>
      </x:c>
      <x:c r="K39" s="16" t="str">
        <x:v>Регион объекта</x:v>
      </x:c>
      <x:c r="L39" s="17"/>
      <x:c r="M39" s="16" t="str"/>
      <x:c r="N39" s="16" t="str">
        <x:v>Указать класс подготовки</x:v>
      </x:c>
    </x:row>
    <x:row r="40">
      <x:c r="A40" s="16" t="str">
        <x:v>Q007</x:v>
      </x:c>
      <x:c r="B40" s="16" t="str">
        <x:v>Потолки</x:v>
      </x:c>
      <x:c r="C40" s="16" t="str">
        <x:v>E08</x:v>
      </x:c>
      <x:c r="D40" s="16" t="str">
        <x:v>Потолочная система, карнизы, люки</x:v>
      </x:c>
      <x:c r="E40" s="16" t="str">
        <x:v>Работа+материал</x:v>
      </x:c>
      <x:c r="F40" s="16" t="str">
        <x:v>м²</x:v>
      </x:c>
      <x:c r="G40" s="34"/>
      <x:c r="H40" s="34"/>
      <x:c r="I40" s="34" t="str">
        <x:f>IF(OR(G40="",H40=""),"",G40*H40)</x:f>
      </x:c>
      <x:c r="J40" s="16" t="str">
        <x:v>НУЖНО 3 КП</x:v>
      </x:c>
      <x:c r="K40" s="16" t="str">
        <x:v>Регион объекта</x:v>
      </x:c>
      <x:c r="L40" s="17"/>
      <x:c r="M40" s="16" t="str"/>
      <x:c r="N40" s="16" t="str">
        <x:v>Нужен план потолков</x:v>
      </x:c>
    </x:row>
    <x:row r="41">
      <x:c r="A41" s="16" t="str">
        <x:v>Q008</x:v>
      </x:c>
      <x:c r="B41" s="16" t="str">
        <x:v>Сантехника</x:v>
      </x:c>
      <x:c r="C41" s="16" t="str">
        <x:v>E06</x:v>
      </x:c>
      <x:c r="D41" s="16" t="str">
        <x:v>Вода, канализация, коллекторы, испытания</x:v>
      </x:c>
      <x:c r="E41" s="16" t="str">
        <x:v>Работа+материал</x:v>
      </x:c>
      <x:c r="F41" s="16" t="str">
        <x:v>комплекс</x:v>
      </x:c>
      <x:c r="G41" s="34"/>
      <x:c r="H41" s="34"/>
      <x:c r="I41" s="34" t="str">
        <x:f>IF(OR(G41="",H41=""),"",G41*H41)</x:f>
      </x:c>
      <x:c r="J41" s="16" t="str">
        <x:v>BLOCKED</x:v>
      </x:c>
      <x:c r="K41" s="16" t="str">
        <x:v>Регион объекта</x:v>
      </x:c>
      <x:c r="L41" s="17"/>
      <x:c r="M41" s="16" t="str"/>
      <x:c r="N41" s="16" t="str">
        <x:v>Нужен проект и точки подключения</x:v>
      </x:c>
    </x:row>
    <x:row r="42">
      <x:c r="A42" s="16" t="str">
        <x:v>Q009</x:v>
      </x:c>
      <x:c r="B42" s="16" t="str">
        <x:v>Отопление</x:v>
      </x:c>
      <x:c r="C42" s="16" t="str">
        <x:v>E06</x:v>
      </x:c>
      <x:c r="D42" s="16" t="str">
        <x:v>Котельная, отопление, автоматика</x:v>
      </x:c>
      <x:c r="E42" s="16" t="str">
        <x:v>Работа+материал</x:v>
      </x:c>
      <x:c r="F42" s="16" t="str">
        <x:v>комплекс</x:v>
      </x:c>
      <x:c r="G42" s="34"/>
      <x:c r="H42" s="34"/>
      <x:c r="I42" s="34" t="str">
        <x:f>IF(OR(G42="",H42=""),"",G42*H42)</x:f>
      </x:c>
      <x:c r="J42" s="16" t="str">
        <x:v>BLOCKED</x:v>
      </x:c>
      <x:c r="K42" s="16" t="str">
        <x:v>Регион объекта</x:v>
      </x:c>
      <x:c r="L42" s="17"/>
      <x:c r="M42" s="16" t="str"/>
      <x:c r="N42" s="16" t="str">
        <x:v>Нужен теплотехнический расчёт</x:v>
      </x:c>
    </x:row>
    <x:row r="43">
      <x:c r="A43" s="16" t="str">
        <x:v>Q010</x:v>
      </x:c>
      <x:c r="B43" s="16" t="str">
        <x:v>Вентиляция</x:v>
      </x:c>
      <x:c r="C43" s="16" t="str">
        <x:v>E06</x:v>
      </x:c>
      <x:c r="D43" s="16" t="str">
        <x:v>Дом и дымоудаление мангальной</x:v>
      </x:c>
      <x:c r="E43" s="16" t="str">
        <x:v>Работа+материал</x:v>
      </x:c>
      <x:c r="F43" s="16" t="str">
        <x:v>комплекс</x:v>
      </x:c>
      <x:c r="G43" s="34"/>
      <x:c r="H43" s="34"/>
      <x:c r="I43" s="34" t="str">
        <x:f>IF(OR(G43="",H43=""),"",G43*H43)</x:f>
      </x:c>
      <x:c r="J43" s="16" t="str">
        <x:v>BLOCKED</x:v>
      </x:c>
      <x:c r="K43" s="16" t="str">
        <x:v>Регион объекта</x:v>
      </x:c>
      <x:c r="L43" s="17"/>
      <x:c r="M43" s="16" t="str"/>
      <x:c r="N43" s="16" t="str">
        <x:v>Нужен расчёт воздухообмена</x:v>
      </x:c>
    </x:row>
    <x:row r="44">
      <x:c r="A44" s="16" t="str">
        <x:v>Q011</x:v>
      </x:c>
      <x:c r="B44" s="16" t="str">
        <x:v>Газ</x:v>
      </x:c>
      <x:c r="C44" s="16" t="str">
        <x:v>E04</x:v>
      </x:c>
      <x:c r="D44" s="16" t="str">
        <x:v>Проект и монтаж газоснабжения</x:v>
      </x:c>
      <x:c r="E44" s="16" t="str">
        <x:v>Проект+работа</x:v>
      </x:c>
      <x:c r="F44" s="16" t="str">
        <x:v>комплекс</x:v>
      </x:c>
      <x:c r="G44" s="34"/>
      <x:c r="H44" s="34"/>
      <x:c r="I44" s="34" t="str">
        <x:f>IF(OR(G44="",H44=""),"",G44*H44)</x:f>
      </x:c>
      <x:c r="J44" s="16" t="str">
        <x:v>BLOCKED</x:v>
      </x:c>
      <x:c r="K44" s="16" t="str">
        <x:v>Регион объекта</x:v>
      </x:c>
      <x:c r="L44" s="17"/>
      <x:c r="M44" s="16" t="str"/>
      <x:c r="N44" s="16" t="str">
        <x:v>ТУ и согласование ГРО обязательны</x:v>
      </x:c>
    </x:row>
    <x:row r="45">
      <x:c r="A45" s="16" t="str">
        <x:v>Q012</x:v>
      </x:c>
      <x:c r="B45" s="16" t="str">
        <x:v>Кухня и мебель</x:v>
      </x:c>
      <x:c r="C45" s="16" t="str">
        <x:v>E09</x:v>
      </x:c>
      <x:c r="D45" s="16" t="str">
        <x:v>Кухня, шкафы, детские системы</x:v>
      </x:c>
      <x:c r="E45" s="16" t="str">
        <x:v>Материал+монтаж</x:v>
      </x:c>
      <x:c r="F45" s="16" t="str">
        <x:v>комплекс</x:v>
      </x:c>
      <x:c r="G45" s="34"/>
      <x:c r="H45" s="34"/>
      <x:c r="I45" s="34" t="str">
        <x:f>IF(OR(G45="",H45=""),"",G45*H45)</x:f>
      </x:c>
      <x:c r="J45" s="16" t="str">
        <x:v>ПОСЛЕ ОБМЕРА</x:v>
      </x:c>
      <x:c r="K45" s="16" t="str">
        <x:v>Регион объекта</x:v>
      </x:c>
      <x:c r="L45" s="17"/>
      <x:c r="M45" s="16" t="str"/>
      <x:c r="N45" s="16" t="str">
        <x:v>Финальный замер после отделки</x:v>
      </x:c>
    </x:row>
    <x:row r="46">
      <x:c r="A46" s="16" t="str">
        <x:v>Q013</x:v>
      </x:c>
      <x:c r="B46" s="16" t="str">
        <x:v>Ландшафт</x:v>
      </x:c>
      <x:c r="C46" s="16" t="str">
        <x:v>E10</x:v>
      </x:c>
      <x:c r="D46" s="16" t="str">
        <x:v>Водоотвод, бетон, свет, посадки</x:v>
      </x:c>
      <x:c r="E46" s="16" t="str">
        <x:v>Работа+материал</x:v>
      </x:c>
      <x:c r="F46" s="16" t="str">
        <x:v>комплекс</x:v>
      </x:c>
      <x:c r="G46" s="34"/>
      <x:c r="H46" s="34"/>
      <x:c r="I46" s="34" t="str">
        <x:f>IF(OR(G46="",H46=""),"",G46*H46)</x:f>
      </x:c>
      <x:c r="J46" s="16" t="str">
        <x:v>BLOCKED</x:v>
      </x:c>
      <x:c r="K46" s="16" t="str">
        <x:v>Регион объекта</x:v>
      </x:c>
      <x:c r="L46" s="17"/>
      <x:c r="M46" s="16" t="str"/>
      <x:c r="N46" s="16" t="str">
        <x:v>Нужны топосъёмка, грунт и объёмы</x:v>
      </x:c>
    </x:row>
  </x:sheetData>
  <x:mergeCells>
    <x:mergeCell ref="A1:N1"/>
    <x:mergeCell ref="A2:N2"/>
  </x:mergeCells>
  <x:conditionalFormatting sqref="J5:J46">
    <x:cfRule type="containsText" dxfId="3" priority="1" operator="containsText" text="BLOCKED"/>
    <x:cfRule type="containsText" dxfId="4" priority="2" operator="containsText" text="НУЖНО"/>
  </x:conditionalFormatting>
  <x:pageMargins left="0.7" right="0.7" top="0.75" bottom="0.75" header="0.3" footer="0.3"/>
  <x:tableParts count="1">
    <x:tablePart xmlns:r="http://schemas.openxmlformats.org/officeDocument/2006/relationships" r:id="Rbd6cade555b04f1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5" hidden="0" customWidth="1"/>
    <x:col min="3" max="3" width="38" hidden="0" customWidth="1"/>
    <x:col min="4" max="4" width="24" hidden="0" customWidth="1"/>
    <x:col min="5" max="5" width="48" hidden="0" customWidth="1"/>
    <x:col min="6" max="6" width="18" hidden="0" customWidth="1"/>
    <x:col min="7" max="7" width="11" hidden="0" customWidth="1"/>
    <x:col min="8" max="8" width="11" hidden="0" customWidth="1"/>
    <x:col min="9" max="9" width="17" hidden="0" customWidth="1"/>
    <x:col min="10" max="10" width="15" hidden="0" customWidth="1"/>
    <x:col min="11" max="11" width="30" hidden="0" customWidth="1"/>
    <x:col min="12" max="12" width="18" hidden="0" customWidth="1"/>
    <x:col min="13" max="13" width="17" hidden="0" customWidth="1"/>
    <x:col min="14" max="14" width="38" hidden="0" customWidth="1"/>
  </x:cols>
  <x:sheetData>
    <x:row r="1" ht="30" customHeight="1">
      <x:c r="A1" s="3" t="str">
        <x:v>Подрядчики: единая проверка Авито и прямых рекомендаций</x:v>
      </x:c>
      <x:c r="B1" s="3" t="str">
        <x:v>Подрядчики: единая проверка Авито и прямых рекомендаций</x:v>
      </x:c>
      <x:c r="C1" s="3" t="str">
        <x:v>Подрядчики: единая проверка Авито и прямых рекомендаций</x:v>
      </x:c>
      <x:c r="D1" s="3" t="str">
        <x:v>Подрядчики: единая проверка Авито и прямых рекомендаций</x:v>
      </x:c>
      <x:c r="E1" s="3" t="str">
        <x:v>Подрядчики: единая проверка Авито и прямых рекомендаций</x:v>
      </x:c>
      <x:c r="F1" s="3" t="str">
        <x:v>Подрядчики: единая проверка Авито и прямых рекомендаций</x:v>
      </x:c>
      <x:c r="G1" s="3" t="str">
        <x:v>Подрядчики: единая проверка Авито и прямых рекомендаций</x:v>
      </x:c>
      <x:c r="H1" s="3" t="str">
        <x:v>Подрядчики: единая проверка Авито и прямых рекомендаций</x:v>
      </x:c>
      <x:c r="I1" s="3" t="str">
        <x:v>Подрядчики: единая проверка Авито и прямых рекомендаций</x:v>
      </x:c>
      <x:c r="J1" s="3" t="str">
        <x:v>Подрядчики: единая проверка Авито и прямых рекомендаций</x:v>
      </x:c>
      <x:c r="K1" s="3" t="str">
        <x:v>Подрядчики: единая проверка Авито и прямых рекомендаций</x:v>
      </x:c>
      <x:c r="L1" s="3" t="str">
        <x:v>Подрядчики: единая проверка Авито и прямых рекомендаций</x:v>
      </x:c>
      <x:c r="M1" s="3" t="str">
        <x:v>Подрядчики: единая проверка Авито и прямых рекомендаций</x:v>
      </x:c>
      <x:c r="N1" s="3" t="str">
        <x:v>Подрядчики: единая проверка Авито и прямых рекомендаций</x:v>
      </x:c>
    </x:row>
    <x:row r="2">
      <x:c r="A2" s="37" t="str">
        <x:v>Регион: Ставрополь. Автоматический просмотр Авито недоступен: кандидаты не выдумываются. Вставьте ссылки на профили — карточки заполняются после проверки отзывов, договора, гарантии, портфолио и цены.</x:v>
      </x:c>
      <x:c r="B2" s="37" t="str">
        <x:v>Регион: Ставрополь. Автоматический просмотр Авито недоступен: кандидаты не выдумываются. Вставьте ссылки на профили — карточки заполняются после проверки отзывов, договора, гарантии, портфолио и цены.</x:v>
      </x:c>
      <x:c r="C2" s="37" t="str">
        <x:v>Регион: Ставрополь. Автоматический просмотр Авито недоступен: кандидаты не выдумываются. Вставьте ссылки на профили — карточки заполняются после проверки отзывов, договора, гарантии, портфолио и цены.</x:v>
      </x:c>
      <x:c r="D2" s="37" t="str">
        <x:v>Регион: Ставрополь. Автоматический просмотр Авито недоступен: кандидаты не выдумываются. Вставьте ссылки на профили — карточки заполняются после проверки отзывов, договора, гарантии, портфолио и цены.</x:v>
      </x:c>
      <x:c r="E2" s="37" t="str">
        <x:v>Регион: Ставрополь. Автоматический просмотр Авито недоступен: кандидаты не выдумываются. Вставьте ссылки на профили — карточки заполняются после проверки отзывов, договора, гарантии, портфолио и цены.</x:v>
      </x:c>
      <x:c r="F2" s="37" t="str">
        <x:v>Регион: Ставрополь. Автоматический просмотр Авито недоступен: кандидаты не выдумываются. Вставьте ссылки на профили — карточки заполняются после проверки отзывов, договора, гарантии, портфолио и цены.</x:v>
      </x:c>
      <x:c r="G2" s="37" t="str">
        <x:v>Регион: Ставрополь. Автоматический просмотр Авито недоступен: кандидаты не выдумываются. Вставьте ссылки на профили — карточки заполняются после проверки отзывов, договора, гарантии, портфолио и цены.</x:v>
      </x:c>
      <x:c r="H2" s="37" t="str">
        <x:v>Регион: Ставрополь. Автоматический просмотр Авито недоступен: кандидаты не выдумываются. Вставьте ссылки на профили — карточки заполняются после проверки отзывов, договора, гарантии, портфолио и цены.</x:v>
      </x:c>
      <x:c r="I2" s="37" t="str">
        <x:v>Регион: Ставрополь. Автоматический просмотр Авито недоступен: кандидаты не выдумываются. Вставьте ссылки на профили — карточки заполняются после проверки отзывов, договора, гарантии, портфолио и цены.</x:v>
      </x:c>
      <x:c r="J2" s="37" t="str">
        <x:v>Регион: Ставрополь. Автоматический просмотр Авито недоступен: кандидаты не выдумываются. Вставьте ссылки на профили — карточки заполняются после проверки отзывов, договора, гарантии, портфолио и цены.</x:v>
      </x:c>
      <x:c r="K2" s="37" t="str">
        <x:v>Регион: Ставрополь. Автоматический просмотр Авито недоступен: кандидаты не выдумываются. Вставьте ссылки на профили — карточки заполняются после проверки отзывов, договора, гарантии, портфолио и цены.</x:v>
      </x:c>
      <x:c r="L2" s="37" t="str">
        <x:v>Регион: Ставрополь. Автоматический просмотр Авито недоступен: кандидаты не выдумываются. Вставьте ссылки на профили — карточки заполняются после проверки отзывов, договора, гарантии, портфолио и цены.</x:v>
      </x:c>
      <x:c r="M2" s="37" t="str">
        <x:v>Регион: Ставрополь. Автоматический просмотр Авито недоступен: кандидаты не выдумываются. Вставьте ссылки на профили — карточки заполняются после проверки отзывов, договора, гарантии, портфолио и цены.</x:v>
      </x:c>
      <x:c r="N2" s="37" t="str">
        <x:v>Регион: Ставрополь. Автоматический просмотр Авито недоступен: кандидаты не выдумываются. Вставьте ссылки на профили — карточки заполняются после проверки отзывов, договора, гарантии, портфолио и цены.</x:v>
      </x:c>
    </x:row>
    <x:row r="4">
      <x:c r="A4" s="10" t="str">
        <x:v>ID</x:v>
      </x:c>
      <x:c r="B4" s="32" t="str">
        <x:v>Специализация</x:v>
      </x:c>
      <x:c r="C4" s="32" t="str">
        <x:v>Запрос для Авито</x:v>
      </x:c>
      <x:c r="D4" s="32" t="str">
        <x:v>Исполнитель</x:v>
      </x:c>
      <x:c r="E4" s="32" t="str">
        <x:v>Ссылка</x:v>
      </x:c>
      <x:c r="F4" s="32" t="str">
        <x:v>Город</x:v>
      </x:c>
      <x:c r="G4" s="32" t="str">
        <x:v>Рейтинг</x:v>
      </x:c>
      <x:c r="H4" s="32" t="str">
        <x:v>Отзывы</x:v>
      </x:c>
      <x:c r="I4" s="32" t="str">
        <x:v>Договор/ИП</x:v>
      </x:c>
      <x:c r="J4" s="32" t="str">
        <x:v>Гарантия</x:v>
      </x:c>
      <x:c r="K4" s="32" t="str">
        <x:v>Портфолио похожих работ</x:v>
      </x:c>
      <x:c r="L4" s="32" t="str">
        <x:v>Цена/КП</x:v>
      </x:c>
      <x:c r="M4" s="32" t="str">
        <x:v>Статус</x:v>
      </x:c>
      <x:c r="N4" s="11" t="str">
        <x:v>Контрольный вопрос</x:v>
      </x:c>
    </x:row>
    <x:row r="5">
      <x:c r="A5" s="16" t="str">
        <x:v>C01</x:v>
      </x:c>
      <x:c r="B5" s="16" t="str">
        <x:v>Обмеры/технадзор</x:v>
      </x:c>
      <x:c r="C5" s="16" t="str">
        <x:v>обмеры частного дома технадзор</x:v>
      </x:c>
      <x:c r="D5" s="16" t="str"/>
      <x:c r="E5" s="16" t="str"/>
      <x:c r="F5" s="16" t="str"/>
      <x:c r="G5" s="16"/>
      <x:c r="H5" s="16"/>
      <x:c r="I5" s="16" t="str"/>
      <x:c r="J5" s="16" t="str"/>
      <x:c r="K5" s="16" t="str"/>
      <x:c r="L5" s="16" t="str"/>
      <x:c r="M5" s="16" t="str">
        <x:v>НУЖНА ССЫЛКА</x:v>
      </x:c>
      <x:c r="N5" s="16" t="str">
        <x:v>Первый выезд до ремонта</x:v>
      </x:c>
    </x:row>
    <x:row r="6">
      <x:c r="A6" s="16" t="str">
        <x:v>C02</x:v>
      </x:c>
      <x:c r="B6" s="16" t="str">
        <x:v>Конструктор</x:v>
      </x:c>
      <x:c r="C6" s="16" t="str">
        <x:v>обследование дома усиление проёма балкон</x:v>
      </x:c>
      <x:c r="D6" s="16" t="str"/>
      <x:c r="E6" s="16" t="str"/>
      <x:c r="F6" s="16" t="str"/>
      <x:c r="G6" s="16"/>
      <x:c r="H6" s="16"/>
      <x:c r="I6" s="16" t="str"/>
      <x:c r="J6" s="16" t="str"/>
      <x:c r="K6" s="16" t="str"/>
      <x:c r="L6" s="16" t="str"/>
      <x:c r="M6" s="16" t="str">
        <x:v>НУЖНА ССЫЛКА</x:v>
      </x:c>
      <x:c r="N6" s="16" t="str">
        <x:v>Нужны СРО/квалификация и расчёт</x:v>
      </x:c>
    </x:row>
    <x:row r="7">
      <x:c r="A7" s="16" t="str">
        <x:v>C03</x:v>
      </x:c>
      <x:c r="B7" s="16" t="str">
        <x:v>Штукатурка</x:v>
      </x:c>
      <x:c r="C7" s="16" t="str">
        <x:v>Ставрополь механизированная штукатурка частный дом</x:v>
      </x:c>
      <x:c r="D7" s="16" t="str">
        <x:v>Korona Remont — только как кандидат по открытому прайсу</x:v>
      </x:c>
      <x:c r="E7" s="16" t="str">
        <x:v>https://stavropol.korona-remont.ru/uslugi/shtukaturno-malyarnye-raboty</x:v>
      </x:c>
      <x:c r="F7" s="16" t="str">
        <x:v>Ставрополь</x:v>
      </x:c>
      <x:c r="G7" s="16"/>
      <x:c r="H7" s="16"/>
      <x:c r="I7" s="16" t="str">
        <x:v>Уточнить</x:v>
      </x:c>
      <x:c r="J7" s="16" t="str">
        <x:v>Уточнить</x:v>
      </x:c>
      <x:c r="K7" s="16" t="str">
        <x:v>Проверить реальные частные дома</x:v>
      </x:c>
      <x:c r="L7" s="16" t="str">
        <x:v>Запросить КП</x:v>
      </x:c>
      <x:c r="M7" s="16" t="str">
        <x:v>ПРОВЕРИТЬ</x:v>
      </x:c>
      <x:c r="N7" s="16" t="str">
        <x:v>Проверить углы, откосы, сетку, гарантию</x:v>
      </x:c>
    </x:row>
    <x:row r="8">
      <x:c r="A8" s="16" t="str">
        <x:v>C04</x:v>
      </x:c>
      <x:c r="B8" s="16" t="str">
        <x:v>Потолки</x:v>
      </x:c>
      <x:c r="C8" s="16" t="str">
        <x:v>потолки гипсокартон теневой профиль частный дом</x:v>
      </x:c>
      <x:c r="D8" s="16" t="str">
        <x:v>PotolokStavropol — кандидат по открытому диапазону цен</x:v>
      </x:c>
      <x:c r="E8" s="16" t="str">
        <x:v>https://potolokstavropol.ru/</x:v>
      </x:c>
      <x:c r="F8" s="16" t="str">
        <x:v>Ставрополь</x:v>
      </x:c>
      <x:c r="G8" s="16"/>
      <x:c r="H8" s="16"/>
      <x:c r="I8" s="16" t="str">
        <x:v>Уточнить</x:v>
      </x:c>
      <x:c r="J8" s="16" t="str">
        <x:v>На сайте заявлена; сверить в договоре</x:v>
      </x:c>
      <x:c r="K8" s="16" t="str">
        <x:v>Запросить частный дом, теневые примыкания и световые линии</x:v>
      </x:c>
      <x:c r="L8" s="16" t="str">
        <x:v>280–700 ₽/м² ориентир</x:v>
      </x:c>
      <x:c r="M8" s="16" t="str">
        <x:v>ПРОВЕРИТЬ</x:v>
      </x:c>
      <x:c r="N8" s="16" t="str">
        <x:v>Просить узлы люков, карнизов и примыканий; отдельную цену каждого элемента</x:v>
      </x:c>
    </x:row>
    <x:row r="9">
      <x:c r="A9" s="16" t="str">
        <x:v>C05</x:v>
      </x:c>
      <x:c r="B9" s="16" t="str">
        <x:v>Электрика</x:v>
      </x:c>
      <x:c r="C9" s="16" t="str">
        <x:v>Ставрополь электрика частного дома проект монтаж</x:v>
      </x:c>
      <x:c r="D9" s="16" t="str">
        <x:v>Клуб 24.7 — кандидат по открытому прайсу</x:v>
      </x:c>
      <x:c r="E9" s="16" t="str">
        <x:v>https://stavropol.electric-doma.ru/</x:v>
      </x:c>
      <x:c r="F9" s="16" t="str">
        <x:v>Ставрополь</x:v>
      </x:c>
      <x:c r="G9" s="16"/>
      <x:c r="H9" s="16"/>
      <x:c r="I9" s="16" t="str">
        <x:v>Уточнить</x:v>
      </x:c>
      <x:c r="J9" s="16" t="str">
        <x:v>Уточнить</x:v>
      </x:c>
      <x:c r="K9" s="16" t="str">
        <x:v>Проверить дома сопоставимого масштаба</x:v>
      </x:c>
      <x:c r="L9" s="16" t="str">
        <x:v>Запросить КП</x:v>
      </x:c>
      <x:c r="M9" s="16" t="str">
        <x:v>ПРОВЕРИТЬ</x:v>
      </x:c>
      <x:c r="N9" s="16" t="str">
        <x:v>Измерения и исполнительная схема обязательны</x:v>
      </x:c>
    </x:row>
    <x:row r="10">
      <x:c r="A10" s="16" t="str">
        <x:v>C06</x:v>
      </x:c>
      <x:c r="B10" s="16" t="str">
        <x:v>Сантехника/отопление</x:v>
      </x:c>
      <x:c r="C10" s="16" t="str">
        <x:v>Ставрополь котельная отопление сантехника частный дом</x:v>
      </x:c>
      <x:c r="D10" s="16" t="str">
        <x:v>Hands Ставрополь — площадка для первичного сравнения</x:v>
      </x:c>
      <x:c r="E10" s="16" t="str">
        <x:v>https://stavropol.hands.ru/category/santekhnika/</x:v>
      </x:c>
      <x:c r="F10" s="16" t="str">
        <x:v>Ставрополь</x:v>
      </x:c>
      <x:c r="G10" s="16"/>
      <x:c r="H10" s="16"/>
      <x:c r="I10" s="16" t="str">
        <x:v>По профилю</x:v>
      </x:c>
      <x:c r="J10" s="16" t="str">
        <x:v>По профилю</x:v>
      </x:c>
      <x:c r="K10" s="16" t="str">
        <x:v>Проверить отопление частного дома</x:v>
      </x:c>
      <x:c r="L10" s="16" t="str">
        <x:v>Запросить КП</x:v>
      </x:c>
      <x:c r="M10" s="16" t="str">
        <x:v>ПРОВЕРИТЬ</x:v>
      </x:c>
      <x:c r="N10" s="16" t="str">
        <x:v>Опрессовка, автоматика, сервис</x:v>
      </x:c>
    </x:row>
    <x:row r="11">
      <x:c r="A11" s="16" t="str">
        <x:v>C07</x:v>
      </x:c>
      <x:c r="B11" s="16" t="str">
        <x:v>Вентиляция</x:v>
      </x:c>
      <x:c r="C11" s="16" t="str">
        <x:v>вентиляция частного дома вытяжка мангальной</x:v>
      </x:c>
      <x:c r="D11" s="16" t="str"/>
      <x:c r="E11" s="16" t="str"/>
      <x:c r="F11" s="16" t="str"/>
      <x:c r="G11" s="16"/>
      <x:c r="H11" s="16"/>
      <x:c r="I11" s="16" t="str"/>
      <x:c r="J11" s="16" t="str"/>
      <x:c r="K11" s="16" t="str"/>
      <x:c r="L11" s="16" t="str"/>
      <x:c r="M11" s="16" t="str">
        <x:v>НУЖНА ССЫЛКА</x:v>
      </x:c>
      <x:c r="N11" s="16" t="str">
        <x:v>Расчёт и пожаробезопасное дымоудаление</x:v>
      </x:c>
    </x:row>
    <x:row r="12">
      <x:c r="A12" s="16" t="str">
        <x:v>C08</x:v>
      </x:c>
      <x:c r="B12" s="16" t="str">
        <x:v>Плитка</x:v>
      </x:c>
      <x:c r="C12" s="16" t="str">
        <x:v>плиточник крупный формат санузел</x:v>
      </x:c>
      <x:c r="D12" s="16" t="str"/>
      <x:c r="E12" s="16" t="str"/>
      <x:c r="F12" s="16" t="str"/>
      <x:c r="G12" s="16"/>
      <x:c r="H12" s="16"/>
      <x:c r="I12" s="16" t="str"/>
      <x:c r="J12" s="16" t="str"/>
      <x:c r="K12" s="16" t="str"/>
      <x:c r="L12" s="16" t="str"/>
      <x:c r="M12" s="16" t="str">
        <x:v>НУЖНА ССЫЛКА</x:v>
      </x:c>
      <x:c r="N12" s="16" t="str">
        <x:v>Фото примыканий и скрытых люков</x:v>
      </x:c>
    </x:row>
    <x:row r="13">
      <x:c r="A13" s="16" t="str">
        <x:v>C09</x:v>
      </x:c>
      <x:c r="B13" s="16" t="str">
        <x:v>Малярные работы</x:v>
      </x:c>
      <x:c r="C13" s="16" t="str">
        <x:v>малярные работы под покраску частный дом</x:v>
      </x:c>
      <x:c r="D13" s="16" t="str"/>
      <x:c r="E13" s="16" t="str"/>
      <x:c r="F13" s="16" t="str"/>
      <x:c r="G13" s="16"/>
      <x:c r="H13" s="16"/>
      <x:c r="I13" s="16" t="str"/>
      <x:c r="J13" s="16" t="str"/>
      <x:c r="K13" s="16" t="str"/>
      <x:c r="L13" s="16" t="str"/>
      <x:c r="M13" s="16" t="str">
        <x:v>НУЖНА ССЫЛКА</x:v>
      </x:c>
      <x:c r="N13" s="16" t="str">
        <x:v>Согласовать класс поверхности</x:v>
      </x:c>
    </x:row>
    <x:row r="14">
      <x:c r="A14" s="16" t="str">
        <x:v>C10</x:v>
      </x:c>
      <x:c r="B14" s="16" t="str">
        <x:v>Кухня/мебель</x:v>
      </x:c>
      <x:c r="C14" s="16" t="str">
        <x:v>мебель на заказ кухня шкафы частный дом</x:v>
      </x:c>
      <x:c r="D14" s="16" t="str">
        <x:v>MebelNaZakaz26 — местный кандидат с портфолио и 3D</x:v>
      </x:c>
      <x:c r="E14" s="16" t="str">
        <x:v>https://mebelnazakaz26.ru/</x:v>
      </x:c>
      <x:c r="F14" s="16" t="str">
        <x:v>Ставрополь/край</x:v>
      </x:c>
      <x:c r="G14" s="16"/>
      <x:c r="H14" s="16"/>
      <x:c r="I14" s="16" t="str">
        <x:v>Уточнить реквизиты</x:v>
      </x:c>
      <x:c r="J14" s="16" t="str">
        <x:v>Уточнить</x:v>
      </x:c>
      <x:c r="K14" s="16" t="str">
        <x:v>На сайте есть портфолио; запросить адреса/контакты заказчиков с разрешения</x:v>
      </x:c>
      <x:c r="L14" s="16" t="str">
        <x:v>Кухни от 80 000 ₽</x:v>
      </x:c>
      <x:c r="M14" s="16" t="str">
        <x:v>ПРОВЕРИТЬ</x:v>
      </x:c>
      <x:c r="N14" s="16" t="str">
        <x:v>Чертежи, материалы, марки фурнитуры, монтаж, регулировка и срок</x:v>
      </x:c>
    </x:row>
    <x:row r="15">
      <x:c r="A15" s="16" t="str">
        <x:v>C11</x:v>
      </x:c>
      <x:c r="B15" s="16" t="str">
        <x:v>Ландшафт</x:v>
      </x:c>
      <x:c r="C15" s="16" t="str">
        <x:v>благоустройство участка бетон дренаж посадки</x:v>
      </x:c>
      <x:c r="D15" s="16" t="str">
        <x:v>MS Landshaft — кандидат по открытому портфолио</x:v>
      </x:c>
      <x:c r="E15" s="16" t="str">
        <x:v>https://stavropol.mslandshaft.ru/portfolio/</x:v>
      </x:c>
      <x:c r="F15" s="16" t="str">
        <x:v>Ставрополь</x:v>
      </x:c>
      <x:c r="G15" s="16"/>
      <x:c r="H15" s="16"/>
      <x:c r="I15" s="16" t="str">
        <x:v>Уточнить</x:v>
      </x:c>
      <x:c r="J15" s="16" t="str">
        <x:v>Уточнить</x:v>
      </x:c>
      <x:c r="K15" s="16" t="str">
        <x:v>Есть проекты в Ставрополе; запросить объекты через 2–3 сезона</x:v>
      </x:c>
      <x:c r="L15" s="16" t="str">
        <x:v>Запросить КП по проекту и реализации отдельно</x:v>
      </x:c>
      <x:c r="M15" s="16" t="str">
        <x:v>ПРОВЕРИТЬ</x:v>
      </x:c>
      <x:c r="N15" s="16" t="str">
        <x:v>Показать водоотвод, основание покрытий, дендроплан и уход после посадки</x:v>
      </x:c>
    </x:row>
  </x:sheetData>
  <x:mergeCells>
    <x:mergeCell ref="A1:N1"/>
    <x:mergeCell ref="A2:N2"/>
  </x:mergeCells>
  <x:conditionalFormatting sqref="M5:M15">
    <x:cfRule type="containsText" dxfId="5" priority="1" operator="containsText" text="ВЫБРАН"/>
    <x:cfRule type="containsText" dxfId="6" priority="2" operator="containsText" text="ОТКЛОНЁН"/>
  </x:conditionalFormatting>
  <x:dataValidations count="1">
    <x:dataValidation type="list" sqref="M5:M15">
      <x:formula1>"НУЖНА ССЫЛКА,ПРОВЕРИТЬ,ШОРТ-ЛИСТ,ОТКЛОНЁН,ВЫБРАН"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e85454de13462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72" hidden="0" customWidth="1"/>
    <x:col min="4" max="4" width="38" hidden="0" customWidth="1"/>
    <x:col min="5" max="5" width="42" hidden="0" customWidth="1"/>
    <x:col min="6" max="6" width="46" hidden="0" customWidth="1"/>
  </x:cols>
  <x:sheetData>
    <x:row r="1" ht="30" customHeight="1">
      <x:c r="A1" s="3" t="str">
        <x:v>Что передать подрядчику и что получить в ответ</x:v>
      </x:c>
      <x:c r="B1" s="3" t="str">
        <x:v>Что передать подрядчику и что получить в ответ</x:v>
      </x:c>
      <x:c r="C1" s="3" t="str">
        <x:v>Что передать подрядчику и что получить в ответ</x:v>
      </x:c>
      <x:c r="D1" s="3" t="str">
        <x:v>Что передать подрядчику и что получить в ответ</x:v>
      </x:c>
      <x:c r="E1" s="3" t="str">
        <x:v>Что передать подрядчику и что получить в ответ</x:v>
      </x:c>
      <x:c r="F1" s="3" t="str">
        <x:v>Что передать подрядчику и что получить в ответ</x:v>
      </x:c>
    </x:row>
    <x:row r="3">
      <x:c r="A3" s="10" t="str">
        <x:v>ID</x:v>
      </x:c>
      <x:c r="B3" s="32" t="str">
        <x:v>Кому</x:v>
      </x:c>
      <x:c r="C3" s="32" t="str">
        <x:v>Текст задания</x:v>
      </x:c>
      <x:c r="D3" s="32" t="str">
        <x:v>Что приложить</x:v>
      </x:c>
      <x:c r="E3" s="32" t="str">
        <x:v>Что получить</x:v>
      </x:c>
      <x:c r="F3" s="11" t="str">
        <x:v>Критерий приёмки</x:v>
      </x:c>
    </x:row>
    <x:row r="4">
      <x:c r="A4" s="16" t="str">
        <x:v>B01</x:v>
      </x:c>
      <x:c r="B4" s="16" t="str">
        <x:v>Общий запрос</x:v>
      </x:c>
      <x:c r="C4" s="16" t="str">
        <x:v>Дом-коробка. Нужны выезд, обмер, дефектная ведомость, детальная смета по работам/материалам, график, состав бригады, договор, гарантия и примеры похожих частных домов.</x:v>
      </x:c>
      <x:c r="D4" s="16" t="str">
        <x:v>PDF, фото, планы, список пожеланий</x:v>
      </x:c>
      <x:c r="E4" s="16" t="str">
        <x:v>КП с объёмами и исключениями</x:v>
      </x:c>
      <x:c r="F4" s="16" t="str">
        <x:v>Не соглашаться на общую сумму без состава работ</x:v>
      </x:c>
    </x:row>
    <x:row r="5">
      <x:c r="A5" s="16" t="str">
        <x:v>B02</x:v>
      </x:c>
      <x:c r="B5" s="16" t="str">
        <x:v>Штукатурка</x:v>
      </x:c>
      <x:c r="C5" s="16" t="str">
        <x:v>Указать площадь, материал стен, среднюю толщину, требования к углам/откосам и уровню готовности под дальнейшую отделку.</x:v>
      </x:c>
      <x:c r="D5" s="16" t="str">
        <x:v>Обмерный план стен</x:v>
      </x:c>
      <x:c r="E5" s="16" t="str">
        <x:v>Цена м² по диапазонам толщины; сетка; маяки; откосы; доставка</x:v>
      </x:c>
      <x:c r="F5" s="16" t="str">
        <x:v>Контроль лазером и двухметровым правилом</x:v>
      </x:c>
    </x:row>
    <x:row r="6">
      <x:c r="A6" s="16" t="str">
        <x:v>B03</x:v>
      </x:c>
      <x:c r="B6" s="16" t="str">
        <x:v>Потолки</x:v>
      </x:c>
      <x:c r="C6" s="16" t="str">
        <x:v>Посчитать систему по плану потолков: высоты, теневые профили, люки, карнизы, светильники, ниши и закладные.</x:v>
      </x:c>
      <x:c r="D6" s="16" t="str">
        <x:v>План потолков и разрезы</x:v>
      </x:c>
      <x:c r="E6" s="16" t="str">
        <x:v>Цена по каждому узлу, материалам и монтажу</x:v>
      </x:c>
      <x:c r="F6" s="16" t="str">
        <x:v>Никаких работ до координации света и вентиляции</x:v>
      </x:c>
    </x:row>
    <x:row r="7">
      <x:c r="A7" s="16" t="str">
        <x:v>B04</x:v>
      </x:c>
      <x:c r="B7" s="16" t="str">
        <x:v>Электрика</x:v>
      </x:c>
      <x:c r="C7" s="16" t="str">
        <x:v>Считать только по плану точек и однолинейной схеме. Выдать кабельный журнал, щит, автоматику, заземление и протоколы.</x:v>
      </x:c>
      <x:c r="D7" s="16" t="str">
        <x:v>План розеток/света, нагрузки</x:v>
      </x:c>
      <x:c r="E7" s="16" t="str">
        <x:v>Материалы и работа раздельно; марки кабеля и автоматики</x:v>
      </x:c>
      <x:c r="F7" s="16" t="str">
        <x:v>Не принимать без измерений и исполнительной схемы</x:v>
      </x:c>
    </x:row>
    <x:row r="8">
      <x:c r="A8" s="16" t="str">
        <x:v>B05</x:v>
      </x:c>
      <x:c r="B8" s="16" t="str">
        <x:v>Сантехника/отопление</x:v>
      </x:c>
      <x:c r="C8" s="16" t="str">
        <x:v>Коллекторная схема, расчёт, уклоны канализации, доступ к ревизиям, опрессовка и автоматика.</x:v>
      </x:c>
      <x:c r="D8" s="16" t="str">
        <x:v>Планы приборов и теплотехнический расчёт</x:v>
      </x:c>
      <x:c r="E8" s="16" t="str">
        <x:v>Спецификация, монтаж, испытания, пуск</x:v>
      </x:c>
      <x:c r="F8" s="16" t="str">
        <x:v>Скрытые соединения и недоступные фильтры — отказ</x:v>
      </x:c>
    </x:row>
    <x:row r="9">
      <x:c r="A9" s="16" t="str">
        <x:v>B06</x:v>
      </x:c>
      <x:c r="B9" s="16" t="str">
        <x:v>Мебель</x:v>
      </x:c>
      <x:c r="C9" s="16" t="str">
        <x:v>Чертежи каждого модуля, материалы, кромка, фурнитура, вентиляционные зазоры, электрика и монтаж.</x:v>
      </x:c>
      <x:c r="D9" s="16" t="str">
        <x:v>Развёртки и финальный обмер</x:v>
      </x:c>
      <x:c r="E9" s="16" t="str">
        <x:v>Цена по модулям, сроки, гарантия, образцы</x:v>
      </x:c>
      <x:c r="F9" s="16" t="str">
        <x:v>Заказ после чистовых размеров</x:v>
      </x:c>
    </x:row>
    <x:row r="10">
      <x:c r="A10" s="16" t="str">
        <x:v>B07</x:v>
      </x:c>
      <x:c r="B10" s="16" t="str">
        <x:v>Ландшафт</x:v>
      </x:c>
      <x:c r="C10" s="16" t="str">
        <x:v>Считать по генплану: отметки, водоотвод, пироги покрытий, бордюры, свет, посадки и обслуживание.</x:v>
      </x:c>
      <x:c r="D10" s="16" t="str">
        <x:v>Топосъёмка, генплан, дендроплан</x:v>
      </x:c>
      <x:c r="E10" s="16" t="str">
        <x:v>Объёмы, материалы, техника, вывоз, гарантия</x:v>
      </x:c>
      <x:c r="F10" s="16" t="str">
        <x:v>Дорожка имеет начало/конец; вода не идёт к фундаменту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dfc73756b3841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0" hidden="0" customWidth="1"/>
    <x:col min="3" max="3" width="23" hidden="0" customWidth="1"/>
    <x:col min="4" max="4" width="42" hidden="0" customWidth="1"/>
    <x:col min="5" max="5" width="38" hidden="0" customWidth="1"/>
    <x:col min="6" max="6" width="46" hidden="0" customWidth="1"/>
    <x:col min="7" max="7" width="11" hidden="0" customWidth="1"/>
    <x:col min="8" max="8" width="10" hidden="0" customWidth="1"/>
    <x:col min="9" max="9" width="14" hidden="0" customWidth="1"/>
    <x:col min="10" max="10" width="18" hidden="0" customWidth="1"/>
    <x:col min="11" max="11" width="65" hidden="0" customWidth="1"/>
    <x:col min="12" max="12" width="42" hidden="0" customWidth="1"/>
  </x:cols>
  <x:sheetData>
    <x:row r="1" ht="30" customHeight="1">
      <x:c r="A1" s="3" t="str">
        <x:v>Комплектация и расстановка: единый спокойный современный стиль</x:v>
      </x:c>
      <x:c r="B1" s="3" t="str">
        <x:v>Комплектация и расстановка: единый спокойный современный стиль</x:v>
      </x:c>
      <x:c r="C1" s="3" t="str">
        <x:v>Комплектация и расстановка: единый спокойный современный стиль</x:v>
      </x:c>
      <x:c r="D1" s="3" t="str">
        <x:v>Комплектация и расстановка: единый спокойный современный стиль</x:v>
      </x:c>
      <x:c r="E1" s="3" t="str">
        <x:v>Комплектация и расстановка: единый спокойный современный стиль</x:v>
      </x:c>
      <x:c r="F1" s="3" t="str">
        <x:v>Комплектация и расстановка: единый спокойный современный стиль</x:v>
      </x:c>
      <x:c r="G1" s="3" t="str">
        <x:v>Комплектация и расстановка: единый спокойный современный стиль</x:v>
      </x:c>
      <x:c r="H1" s="3" t="str">
        <x:v>Комплектация и расстановка: единый спокойный современный стиль</x:v>
      </x:c>
      <x:c r="I1" s="3" t="str">
        <x:v>Комплектация и расстановка: единый спокойный современный стиль</x:v>
      </x:c>
      <x:c r="J1" s="3" t="str">
        <x:v>Комплектация и расстановка: единый спокойный современный стиль</x:v>
      </x:c>
      <x:c r="K1" s="3" t="str">
        <x:v>Комплектация и расстановка: единый спокойный современный стиль</x:v>
      </x:c>
      <x:c r="L1" s="3" t="str">
        <x:v>Комплектация и расстановка: единый спокойный современный стиль</x:v>
      </x:c>
    </x:row>
    <x:row r="2">
      <x:c r="A2" s="40" t="str">
        <x:v>Палитра: тёплый greige + натуральный дуб + графитовый металл + спокойный камень. Все позиции — предварительный шорт-лист до точных планов помещений и проверки габаритов.</x:v>
      </x:c>
      <x:c r="B2" s="40" t="str">
        <x:v>Палитра: тёплый greige + натуральный дуб + графитовый металл + спокойный камень. Все позиции — предварительный шорт-лист до точных планов помещений и проверки габаритов.</x:v>
      </x:c>
      <x:c r="C2" s="40" t="str">
        <x:v>Палитра: тёплый greige + натуральный дуб + графитовый металл + спокойный камень. Все позиции — предварительный шорт-лист до точных планов помещений и проверки габаритов.</x:v>
      </x:c>
      <x:c r="D2" s="40" t="str">
        <x:v>Палитра: тёплый greige + натуральный дуб + графитовый металл + спокойный камень. Все позиции — предварительный шорт-лист до точных планов помещений и проверки габаритов.</x:v>
      </x:c>
      <x:c r="E2" s="40" t="str">
        <x:v>Палитра: тёплый greige + натуральный дуб + графитовый металл + спокойный камень. Все позиции — предварительный шорт-лист до точных планов помещений и проверки габаритов.</x:v>
      </x:c>
      <x:c r="F2" s="40" t="str">
        <x:v>Палитра: тёплый greige + натуральный дуб + графитовый металл + спокойный камень. Все позиции — предварительный шорт-лист до точных планов помещений и проверки габаритов.</x:v>
      </x:c>
      <x:c r="G2" s="40" t="str">
        <x:v>Палитра: тёплый greige + натуральный дуб + графитовый металл + спокойный камень. Все позиции — предварительный шорт-лист до точных планов помещений и проверки габаритов.</x:v>
      </x:c>
      <x:c r="H2" s="40" t="str">
        <x:v>Палитра: тёплый greige + натуральный дуб + графитовый металл + спокойный камень. Все позиции — предварительный шорт-лист до точных планов помещений и проверки габаритов.</x:v>
      </x:c>
      <x:c r="I2" s="40" t="str">
        <x:v>Палитра: тёплый greige + натуральный дуб + графитовый металл + спокойный камень. Все позиции — предварительный шорт-лист до точных планов помещений и проверки габаритов.</x:v>
      </x:c>
      <x:c r="J2" s="40" t="str">
        <x:v>Палитра: тёплый greige + натуральный дуб + графитовый металл + спокойный камень. Все позиции — предварительный шорт-лист до точных планов помещений и проверки габаритов.</x:v>
      </x:c>
      <x:c r="K2" s="40" t="str">
        <x:v>Палитра: тёплый greige + натуральный дуб + графитовый металл + спокойный камень. Все позиции — предварительный шорт-лист до точных планов помещений и проверки габаритов.</x:v>
      </x:c>
      <x:c r="L2" s="40" t="str">
        <x:v>Палитра: тёплый greige + натуральный дуб + графитовый металл + спокойный камень. Все позиции — предварительный шорт-лист до точных планов помещений и проверки габаритов.</x:v>
      </x:c>
    </x:row>
    <x:row r="4">
      <x:c r="A4" s="10" t="str">
        <x:v>ID</x:v>
      </x:c>
      <x:c r="B4" s="32" t="str">
        <x:v>Категория</x:v>
      </x:c>
      <x:c r="C4" s="32" t="str">
        <x:v>Помещение</x:v>
      </x:c>
      <x:c r="D4" s="32" t="str">
        <x:v>Позиция</x:v>
      </x:c>
      <x:c r="E4" s="32" t="str">
        <x:v>Стиль/материал</x:v>
      </x:c>
      <x:c r="F4" s="32" t="str">
        <x:v>Расстановка</x:v>
      </x:c>
      <x:c r="G4" s="32" t="str">
        <x:v>Ед.</x:v>
      </x:c>
      <x:c r="H4" s="32" t="str">
        <x:v>Кол-во</x:v>
      </x:c>
      <x:c r="I4" s="32" t="str">
        <x:v>Цена, ₽</x:v>
      </x:c>
      <x:c r="J4" s="32" t="str">
        <x:v>Статус</x:v>
      </x:c>
      <x:c r="K4" s="32" t="str">
        <x:v>URL</x:v>
      </x:c>
      <x:c r="L4" s="11" t="str">
        <x:v>Проверить</x:v>
      </x:c>
    </x:row>
    <x:row r="5">
      <x:c r="A5" s="16" t="str">
        <x:v>K01</x:v>
      </x:c>
      <x:c r="B5" s="16" t="str">
        <x:v>Кухня</x:v>
      </x:c>
      <x:c r="C5" s="16" t="str">
        <x:v>Главная кухня</x:v>
      </x:c>
      <x:c r="D5" s="16" t="str">
        <x:v>Кухня Мария «Айс» — ценовой ориентир</x:v>
      </x:c>
      <x:c r="E5" s="16" t="str">
        <x:v>Тёплый матовый фасад, дубовая деталь, камень светло-серый</x:v>
      </x:c>
      <x:c r="F5" s="16" t="str">
        <x:v>По рабочей стене; остров только после проверки проходов</x:v>
      </x:c>
      <x:c r="G5" s="16" t="str">
        <x:v>комплект</x:v>
      </x:c>
      <x:c r="H5" s="34" t="n">
        <x:v>1</x:v>
      </x:c>
      <x:c r="I5" s="34" t="n">
        <x:v>150000</x:v>
      </x:c>
      <x:c r="J5" s="16" t="str">
        <x:v>ОТ</x:v>
      </x:c>
      <x:c r="K5" s="16" t="str">
        <x:v>https://stavropol.marya.ru/price/</x:v>
      </x:c>
      <x:c r="L5" s="16" t="str">
        <x:v>Нужны план кухни, техника, точки сетей и сравнение минимум с двумя местными производителями</x:v>
      </x:c>
    </x:row>
    <x:row r="6">
      <x:c r="A6" s="16" t="str">
        <x:v>K02</x:v>
      </x:c>
      <x:c r="B6" s="16" t="str">
        <x:v>Мягкая мебель</x:v>
      </x:c>
      <x:c r="C6" s="16" t="str">
        <x:v>Гостиная</x:v>
      </x:c>
      <x:c r="D6" s="16" t="str">
        <x:v>Диван угловой Вайвел-П Lazy Beige</x:v>
      </x:c>
      <x:c r="E6" s="16" t="str">
        <x:v>Тёплый бежевый, без активного рисунка</x:v>
      </x:c>
      <x:c r="F6" s="16" t="str">
        <x:v>Повернуть к каминной/медиа-зоне, сохранить основной проход</x:v>
      </x:c>
      <x:c r="G6" s="16" t="str">
        <x:v>шт</x:v>
      </x:c>
      <x:c r="H6" s="34" t="n">
        <x:v>1</x:v>
      </x:c>
      <x:c r="I6" s="34" t="n">
        <x:v>99440</x:v>
      </x:c>
      <x:c r="J6" s="16" t="str">
        <x:v>ПРЕДВАРИТЕЛЬНО</x:v>
      </x:c>
      <x:c r="K6" s="16" t="str">
        <x:v>https://www.divan.ru/stavropol/</x:v>
      </x:c>
      <x:c r="L6" s="16" t="str">
        <x:v>Проверить точный размер и сторону угла</x:v>
      </x:c>
    </x:row>
    <x:row r="7">
      <x:c r="A7" s="16" t="str">
        <x:v>K03</x:v>
      </x:c>
      <x:c r="B7" s="16" t="str">
        <x:v>Столы</x:v>
      </x:c>
      <x:c r="C7" s="16" t="str">
        <x:v>Гостиная</x:v>
      </x:c>
      <x:c r="D7" s="16" t="str">
        <x:v>Журнальный стол Тампа-2 Grafit</x:v>
      </x:c>
      <x:c r="E7" s="16" t="str">
        <x:v>Графит, компактный объём</x:v>
      </x:c>
      <x:c r="F7" s="16" t="str">
        <x:v>Парой у дивана; не перекрывать проход детям</x:v>
      </x:c>
      <x:c r="G7" s="16" t="str">
        <x:v>шт</x:v>
      </x:c>
      <x:c r="H7" s="34" t="n">
        <x:v>2</x:v>
      </x:c>
      <x:c r="I7" s="34" t="n">
        <x:v>10520</x:v>
      </x:c>
      <x:c r="J7" s="16" t="str">
        <x:v>ПРЕДВАРИТЕЛЬНО</x:v>
      </x:c>
      <x:c r="K7" s="16" t="str">
        <x:v>https://www.divan.ru/stavropol/category/zurnalnye-stoliki</x:v>
      </x:c>
      <x:c r="L7" s="16" t="str">
        <x:v>Габарит 35×35×50 см</x:v>
      </x:c>
    </x:row>
    <x:row r="8">
      <x:c r="A8" s="16" t="str">
        <x:v>K04</x:v>
      </x:c>
      <x:c r="B8" s="16" t="str">
        <x:v>Стулья</x:v>
      </x:c>
      <x:c r="C8" s="16" t="str">
        <x:v>Столовая</x:v>
      </x:c>
      <x:c r="D8" s="16" t="str">
        <x:v>Стул Одар-1 Бежевый/Натуральный</x:v>
      </x:c>
      <x:c r="E8" s="16" t="str">
        <x:v>Рогожка + натуральное дерево</x:v>
      </x:c>
      <x:c r="F8" s="16" t="str">
        <x:v>Шесть мест вокруг деревянного стола</x:v>
      </x:c>
      <x:c r="G8" s="16" t="str">
        <x:v>шт</x:v>
      </x:c>
      <x:c r="H8" s="34" t="n">
        <x:v>6</x:v>
      </x:c>
      <x:c r="I8" s="34" t="n">
        <x:v>15820</x:v>
      </x:c>
      <x:c r="J8" s="16" t="str">
        <x:v>ПРЕДВАРИТЕЛЬНО</x:v>
      </x:c>
      <x:c r="K8" s="16" t="str">
        <x:v>https://www.divan.ru/stavropol/category/stulay-dlay-stolovoj</x:v>
      </x:c>
      <x:c r="L8" s="16" t="str">
        <x:v>Для помещения, не для влажной террасы</x:v>
      </x:c>
    </x:row>
    <x:row r="9">
      <x:c r="A9" s="16" t="str">
        <x:v>K05</x:v>
      </x:c>
      <x:c r="B9" s="16" t="str">
        <x:v>Кровать</x:v>
      </x:c>
      <x:c r="C9" s="16" t="str">
        <x:v>Спальня Дмитрия и Олеси</x:v>
      </x:c>
      <x:c r="D9" s="16" t="str">
        <x:v>Кровать Агами 160 Bucle Cloud</x:v>
      </x:c>
      <x:c r="E9" s="16" t="str">
        <x:v>Светлая букле, мягкое спокойное изголовье</x:v>
      </x:c>
      <x:c r="F9" s="16" t="str">
        <x:v>По оси глухой стены; проходы и розетки симметрично</x:v>
      </x:c>
      <x:c r="G9" s="16" t="str">
        <x:v>шт</x:v>
      </x:c>
      <x:c r="H9" s="34" t="n">
        <x:v>1</x:v>
      </x:c>
      <x:c r="I9" s="34" t="n">
        <x:v>76040</x:v>
      </x:c>
      <x:c r="J9" s="16" t="str">
        <x:v>ПРЕДВАРИТЕЛЬНО</x:v>
      </x:c>
      <x:c r="K9" s="16" t="str">
        <x:v>https://www.divan.ru/stavropol/</x:v>
      </x:c>
      <x:c r="L9" s="16" t="str">
        <x:v>Матрас, тумбы и свет считаются отдельно</x:v>
      </x:c>
    </x:row>
    <x:row r="10">
      <x:c r="A10" s="16" t="str">
        <x:v>K06</x:v>
      </x:c>
      <x:c r="B10" s="16" t="str">
        <x:v>Картина</x:v>
      </x:c>
      <x:c r="C10" s="16" t="str">
        <x:v>Гостиная</x:v>
      </x:c>
      <x:c r="D10" s="16" t="str">
        <x:v>Картина Рельеф Bordo Lines</x:v>
      </x:c>
      <x:c r="E10" s="16" t="str">
        <x:v>Один бордовый акцент в нейтральной палитре</x:v>
      </x:c>
      <x:c r="F10" s="16" t="str">
        <x:v>На глухой стене, центр на уровне взгляда</x:v>
      </x:c>
      <x:c r="G10" s="16" t="str">
        <x:v>шт</x:v>
      </x:c>
      <x:c r="H10" s="34" t="n">
        <x:v>1</x:v>
      </x:c>
      <x:c r="I10" s="34" t="n">
        <x:v>4670</x:v>
      </x:c>
      <x:c r="J10" s="16" t="str">
        <x:v>ПРЕДВАРИТЕЛЬНО</x:v>
      </x:c>
      <x:c r="K10" s="16" t="str">
        <x:v>https://www.divan.ru/stavropol/</x:v>
      </x:c>
      <x:c r="L10" s="16" t="str">
        <x:v>Окончательно после проверки размера стены</x:v>
      </x:c>
    </x:row>
    <x:row r="11">
      <x:c r="A11" s="16" t="str">
        <x:v>K07</x:v>
      </x:c>
      <x:c r="B11" s="16" t="str">
        <x:v>Сантехника</x:v>
      </x:c>
      <x:c r="C11" s="16" t="str">
        <x:v>Основной санузел</x:v>
      </x:c>
      <x:c r="D11" s="16" t="str">
        <x:v>Душевой уголок AM.PM Above 120×80</x:v>
      </x:c>
      <x:c r="E11" s="16" t="str">
        <x:v>Прозрачное стекло, минимум визуального шума</x:v>
      </x:c>
      <x:c r="F11" s="16" t="str">
        <x:v>В мокрой зоне по уклонам и трапу</x:v>
      </x:c>
      <x:c r="G11" s="16" t="str">
        <x:v>шт</x:v>
      </x:c>
      <x:c r="H11" s="34" t="n">
        <x:v>1</x:v>
      </x:c>
      <x:c r="I11" s="34" t="n">
        <x:v>27490</x:v>
      </x:c>
      <x:c r="J11" s="16" t="str">
        <x:v>ПРЕДВАРИТЕЛЬНО</x:v>
      </x:c>
      <x:c r="K11" s="16" t="str">
        <x:v>https://stavropol.santehnica.ru/</x:v>
      </x:c>
      <x:c r="L11" s="16" t="str">
        <x:v>Проверить направление двери и гидроизоляцию</x:v>
      </x:c>
    </x:row>
    <x:row r="12">
      <x:c r="A12" s="16" t="str">
        <x:v>K08</x:v>
      </x:c>
      <x:c r="B12" s="16" t="str">
        <x:v>Сантехника</x:v>
      </x:c>
      <x:c r="C12" s="16" t="str">
        <x:v>Основной санузел</x:v>
      </x:c>
      <x:c r="D12" s="16" t="str">
        <x:v>Душевая система AM.PM Crave</x:v>
      </x:c>
      <x:c r="E12" s="16" t="str">
        <x:v>Хром как нейтральный долговечный металл</x:v>
      </x:c>
      <x:c r="F12" s="16" t="str">
        <x:v>На инженерной стене душевой</x:v>
      </x:c>
      <x:c r="G12" s="16" t="str">
        <x:v>шт</x:v>
      </x:c>
      <x:c r="H12" s="34" t="n">
        <x:v>1</x:v>
      </x:c>
      <x:c r="I12" s="34" t="n">
        <x:v>23890</x:v>
      </x:c>
      <x:c r="J12" s="16" t="str">
        <x:v>ПРЕДВАРИТЕЛЬНО</x:v>
      </x:c>
      <x:c r="K12" s="16" t="str">
        <x:v>https://stavropol.santehnica.ru/</x:v>
      </x:c>
      <x:c r="L12" s="16" t="str">
        <x:v>Скрытые части выбрать до разводки</x:v>
      </x:c>
    </x:row>
    <x:row r="13">
      <x:c r="A13" s="16" t="str">
        <x:v>K09</x:v>
      </x:c>
      <x:c r="B13" s="16" t="str">
        <x:v>Сантехника</x:v>
      </x:c>
      <x:c r="C13" s="16" t="str">
        <x:v>Санузлы</x:v>
      </x:c>
      <x:c r="D13" s="16" t="str">
        <x:v>Инсталляция Grohe Rapid SL Solido</x:v>
      </x:c>
      <x:c r="E13" s="16" t="str">
        <x:v>Скрытая система, белая чаша, спокойная кнопка</x:v>
      </x:c>
      <x:c r="F13" s="16" t="str">
        <x:v>По одной в каждом подтверждённом санузле</x:v>
      </x:c>
      <x:c r="G13" s="16" t="str">
        <x:v>шт</x:v>
      </x:c>
      <x:c r="H13" s="34" t="n">
        <x:v>2</x:v>
      </x:c>
      <x:c r="I13" s="34" t="n">
        <x:v>23612</x:v>
      </x:c>
      <x:c r="J13" s="16" t="str">
        <x:v>ПРЕДВАРИТЕЛЬНО</x:v>
      </x:c>
      <x:c r="K13" s="16" t="str">
        <x:v>https://stavropol.santehmega.com/</x:v>
      </x:c>
      <x:c r="L13" s="16" t="str">
        <x:v>Количество подтвердить планом</x:v>
      </x:c>
    </x:row>
    <x:row r="14">
      <x:c r="A14" s="16" t="str">
        <x:v>K10</x:v>
      </x:c>
      <x:c r="B14" s="16" t="str">
        <x:v>Мебель ванной</x:v>
      </x:c>
      <x:c r="C14" s="16" t="str">
        <x:v>Гостевой санузел</x:v>
      </x:c>
      <x:c r="D14" s="16" t="str">
        <x:v>Тумба Мадрид Квадро 60 дуб + раковина</x:v>
      </x:c>
      <x:c r="E14" s="16" t="str">
        <x:v>Дуб связывает санузел с мебелью дома</x:v>
      </x:c>
      <x:c r="F14" s="16" t="str">
        <x:v>По сухой стене, с доступом к сифону</x:v>
      </x:c>
      <x:c r="G14" s="16" t="str">
        <x:v>шт</x:v>
      </x:c>
      <x:c r="H14" s="34" t="n">
        <x:v>1</x:v>
      </x:c>
      <x:c r="I14" s="34" t="n">
        <x:v>20900</x:v>
      </x:c>
      <x:c r="J14" s="16" t="str">
        <x:v>ПРЕДВАРИТЕЛЬНО</x:v>
      </x:c>
      <x:c r="K14" s="16" t="str">
        <x:v>https://stavropol.lemanapro.ru/set/tumba-pod-rakovinu-madrid-kvadro-60-sm-cvet-dub-s-rakovinoy-sanita-luxe-kvadro-60-89432275/</x:v>
      </x:c>
      <x:c r="L14" s="16" t="str">
        <x:v>Проверить глубину и открывание двери</x:v>
      </x:c>
    </x:row>
    <x:row r="15">
      <x:c r="A15" s="16" t="str">
        <x:v>K11</x:v>
      </x:c>
      <x:c r="B15" s="16" t="str">
        <x:v>Свет</x:v>
      </x:c>
      <x:c r="C15" s="16" t="str">
        <x:v>Столовая/спальня</x:v>
      </x:c>
      <x:c r="D15" s="16" t="str">
        <x:v>Комплект Freya Blissa, бронза</x:v>
      </x:c>
      <x:c r="E15" s="16" t="str">
        <x:v>Тёплая бронза как умеренный статусный акцент</x:v>
      </x:c>
      <x:c r="F15" s="16" t="str">
        <x:v>Люстра над столом; бра только в согласованной зоне</x:v>
      </x:c>
      <x:c r="G15" s="16" t="str">
        <x:v>комплект</x:v>
      </x:c>
      <x:c r="H15" s="34" t="n">
        <x:v>1</x:v>
      </x:c>
      <x:c r="I15" s="34" t="n">
        <x:v>10238</x:v>
      </x:c>
      <x:c r="J15" s="16" t="str">
        <x:v>ПРЕДВАРИТЕЛЬНО</x:v>
      </x:c>
      <x:c r="K15" s="16" t="str">
        <x:v>https://stavropol.lemanapro.ru/set/komplekt-dekorativnogo-osveshcheniya-freya-blissa-bra-lyustra-3-rozhka-cvet-bronza-89468701/</x:v>
      </x:c>
      <x:c r="L15" s="16" t="str">
        <x:v>Использовать лампы 3000K, CRI 90+</x:v>
      </x:c>
    </x:row>
    <x:row r="16">
      <x:c r="A16" s="16" t="str">
        <x:v>K12</x:v>
      </x:c>
      <x:c r="B16" s="16" t="str">
        <x:v>Мангальная</x:v>
      </x:c>
      <x:c r="C16" s="16" t="str">
        <x:v>Мангальная комната</x:v>
      </x:c>
      <x:c r="D16" s="16" t="str">
        <x:v>Кирпичная линия 4,75 м + мойка + гриль</x:v>
      </x:c>
      <x:c r="E16" s="16" t="str">
        <x:v>Красный кирпич, графитовая столешница, нержавеющая мойка</x:v>
      </x:c>
      <x:c r="F16" s="16" t="str">
        <x:v>Вдоль дальней стены; оба торца остеклённой мангальной доходят до стены дома без зазора; отдельный обеденный стол с проходами</x:v>
      </x:c>
      <x:c r="G16" s="16" t="str">
        <x:v>комплекс</x:v>
      </x:c>
      <x:c r="H16" s="34" t="n">
        <x:v>1</x:v>
      </x:c>
      <x:c r="I16" s="34"/>
      <x:c r="J16" s="16" t="str">
        <x:v>ПО ПРОЕКТУ</x:v>
      </x:c>
      <x:c r="K16" s="16" t="str"/>
      <x:c r="L16" s="16" t="str">
        <x:v>Нужны тепловой расчёт, вытяжка, негорючие узлы и герметизация примыканий к дому</x:v>
      </x:c>
    </x:row>
    <x:row r="17">
      <x:c r="A17" s="16" t="str">
        <x:v>K13</x:v>
      </x:c>
      <x:c r="B17" s="16" t="str">
        <x:v>Детская</x:v>
      </x:c>
      <x:c r="C17" s="16" t="str">
        <x:v>Комната Дарины</x:v>
      </x:c>
      <x:c r="D17" s="16" t="str">
        <x:v>Встроенное хранение гимнастики</x:v>
      </x:c>
      <x:c r="E17" s="16" t="str">
        <x:v>Светлый дуб + молочно-бежевый + один пыльно-розовый акцент</x:v>
      </x:c>
      <x:c r="F17" s="16" t="str">
        <x:v>У стены, не перекрывать дверь на детский балкон</x:v>
      </x:c>
      <x:c r="G17" s="16" t="str">
        <x:v>комплекс</x:v>
      </x:c>
      <x:c r="H17" s="34" t="n">
        <x:v>1</x:v>
      </x:c>
      <x:c r="I17" s="34"/>
      <x:c r="J17" s="16" t="str">
        <x:v>ПО ПРОЕКТУ</x:v>
      </x:c>
      <x:c r="K17" s="16" t="str"/>
      <x:c r="L17" s="16" t="str">
        <x:v>Без горизонтальных опор у ограждения балкона</x:v>
      </x:c>
    </x:row>
    <x:row r="18">
      <x:c r="A18" s="16" t="str">
        <x:v>K14</x:v>
      </x:c>
      <x:c r="B18" s="16" t="str">
        <x:v>Детская</x:v>
      </x:c>
      <x:c r="C18" s="16" t="str">
        <x:v>Комната Ярика</x:v>
      </x:c>
      <x:c r="D18" s="16" t="str">
        <x:v>Хранение футбольной формы и мяча</x:v>
      </x:c>
      <x:c r="E18" s="16" t="str">
        <x:v>Светлый дуб + серо-зелёный акцент</x:v>
      </x:c>
      <x:c r="F18" s="16" t="str">
        <x:v>Низкое доступное хранение у входа, рабочая зона у света</x:v>
      </x:c>
      <x:c r="G18" s="16" t="str">
        <x:v>комплекс</x:v>
      </x:c>
      <x:c r="H18" s="34" t="n">
        <x:v>1</x:v>
      </x:c>
      <x:c r="I18" s="34"/>
      <x:c r="J18" s="16" t="str">
        <x:v>ПО ПРОЕКТУ</x:v>
      </x:c>
      <x:c r="K18" s="16" t="str"/>
      <x:c r="L18" s="16" t="str">
        <x:v>Зафиксировать высокие шкафы к стене</x:v>
      </x:c>
    </x:row>
  </x:sheetData>
  <x:mergeCells>
    <x:mergeCell ref="A1:L1"/>
    <x:mergeCell ref="A2:L2"/>
  </x:mergeCells>
  <x:conditionalFormatting sqref="J5:J18">
    <x:cfRule type="containsText" dxfId="7" priority="1" operator="containsText" text="ПО ПРОЕКТУ"/>
  </x:conditionalFormatting>
  <x:pageMargins left="0.7" right="0.7" top="0.75" bottom="0.75" header="0.3" footer="0.3"/>
  <x:tableParts count="1">
    <x:tablePart xmlns:r="http://schemas.openxmlformats.org/officeDocument/2006/relationships" r:id="R797ca118ccec4b7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26" hidden="0" customWidth="1"/>
    <x:col min="4" max="4" width="36" hidden="0" customWidth="1"/>
    <x:col min="5" max="5" width="24" hidden="0" customWidth="1"/>
    <x:col min="6" max="6" width="30" hidden="0" customWidth="1"/>
    <x:col min="7" max="7" width="48" hidden="0" customWidth="1"/>
    <x:col min="8" max="8" width="10" hidden="0" customWidth="1"/>
    <x:col min="9" max="9" width="14" hidden="0" customWidth="1"/>
    <x:col min="10" max="10" width="22" hidden="0" customWidth="1"/>
    <x:col min="11" max="11" width="28" hidden="0" customWidth="1"/>
    <x:col min="12" max="12" width="70" hidden="0" customWidth="1"/>
    <x:col min="13" max="13" width="46" hidden="0" customWidth="1"/>
  </x:cols>
  <x:sheetData>
    <x:row r="1" ht="30" customHeight="1">
      <x:c r="A1" s="3" t="str">
        <x:v>Техника: модель, габариты, подключения и статус решения</x:v>
      </x:c>
      <x:c r="B1" s="3" t="str">
        <x:v>Техника: модель, габариты, подключения и статус решения</x:v>
      </x:c>
      <x:c r="C1" s="3" t="str">
        <x:v>Техника: модель, габариты, подключения и статус решения</x:v>
      </x:c>
      <x:c r="D1" s="3" t="str">
        <x:v>Техника: модель, габариты, подключения и статус решения</x:v>
      </x:c>
      <x:c r="E1" s="3" t="str">
        <x:v>Техника: модель, габариты, подключения и статус решения</x:v>
      </x:c>
      <x:c r="F1" s="3" t="str">
        <x:v>Техника: модель, габариты, подключения и статус решения</x:v>
      </x:c>
      <x:c r="G1" s="3" t="str">
        <x:v>Техника: модель, габариты, подключения и статус решения</x:v>
      </x:c>
      <x:c r="H1" s="3" t="str">
        <x:v>Техника: модель, габариты, подключения и статус решения</x:v>
      </x:c>
      <x:c r="I1" s="3" t="str">
        <x:v>Техника: модель, габариты, подключения и статус решения</x:v>
      </x:c>
      <x:c r="J1" s="3" t="str">
        <x:v>Техника: модель, габариты, подключения и статус решения</x:v>
      </x:c>
      <x:c r="K1" s="3" t="str">
        <x:v>Техника: модель, габариты, подключения и статус решения</x:v>
      </x:c>
      <x:c r="L1" s="3" t="str">
        <x:v>Техника: модель, габариты, подключения и статус решения</x:v>
      </x:c>
      <x:c r="M1" s="3" t="str">
        <x:v>Техника: модель, габариты, подключения и статус решения</x:v>
      </x:c>
    </x:row>
    <x:row r="2">
      <x:c r="A2" s="29" t="str">
        <x:v>Цены и наличие проверены 30.07.2026 для Ставрополя. Модель не считается закупочной, пока мебельщик и инженеры не подтвердили нишу, электрическую мощность, вентиляцию, воду и слив.</x:v>
      </x:c>
      <x:c r="B2" s="29" t="str">
        <x:v>Цены и наличие проверены 30.07.2026 для Ставрополя. Модель не считается закупочной, пока мебельщик и инженеры не подтвердили нишу, электрическую мощность, вентиляцию, воду и слив.</x:v>
      </x:c>
      <x:c r="C2" s="29" t="str">
        <x:v>Цены и наличие проверены 30.07.2026 для Ставрополя. Модель не считается закупочной, пока мебельщик и инженеры не подтвердили нишу, электрическую мощность, вентиляцию, воду и слив.</x:v>
      </x:c>
      <x:c r="D2" s="29" t="str">
        <x:v>Цены и наличие проверены 30.07.2026 для Ставрополя. Модель не считается закупочной, пока мебельщик и инженеры не подтвердили нишу, электрическую мощность, вентиляцию, воду и слив.</x:v>
      </x:c>
      <x:c r="E2" s="29" t="str">
        <x:v>Цены и наличие проверены 30.07.2026 для Ставрополя. Модель не считается закупочной, пока мебельщик и инженеры не подтвердили нишу, электрическую мощность, вентиляцию, воду и слив.</x:v>
      </x:c>
      <x:c r="F2" s="29" t="str">
        <x:v>Цены и наличие проверены 30.07.2026 для Ставрополя. Модель не считается закупочной, пока мебельщик и инженеры не подтвердили нишу, электрическую мощность, вентиляцию, воду и слив.</x:v>
      </x:c>
      <x:c r="G2" s="29" t="str">
        <x:v>Цены и наличие проверены 30.07.2026 для Ставрополя. Модель не считается закупочной, пока мебельщик и инженеры не подтвердили нишу, электрическую мощность, вентиляцию, воду и слив.</x:v>
      </x:c>
      <x:c r="H2" s="29" t="str">
        <x:v>Цены и наличие проверены 30.07.2026 для Ставрополя. Модель не считается закупочной, пока мебельщик и инженеры не подтвердили нишу, электрическую мощность, вентиляцию, воду и слив.</x:v>
      </x:c>
      <x:c r="I2" s="29" t="str">
        <x:v>Цены и наличие проверены 30.07.2026 для Ставрополя. Модель не считается закупочной, пока мебельщик и инженеры не подтвердили нишу, электрическую мощность, вентиляцию, воду и слив.</x:v>
      </x:c>
      <x:c r="J2" s="29" t="str">
        <x:v>Цены и наличие проверены 30.07.2026 для Ставрополя. Модель не считается закупочной, пока мебельщик и инженеры не подтвердили нишу, электрическую мощность, вентиляцию, воду и слив.</x:v>
      </x:c>
      <x:c r="K2" s="29" t="str">
        <x:v>Цены и наличие проверены 30.07.2026 для Ставрополя. Модель не считается закупочной, пока мебельщик и инженеры не подтвердили нишу, электрическую мощность, вентиляцию, воду и слив.</x:v>
      </x:c>
      <x:c r="L2" s="29" t="str">
        <x:v>Цены и наличие проверены 30.07.2026 для Ставрополя. Модель не считается закупочной, пока мебельщик и инженеры не подтвердили нишу, электрическую мощность, вентиляцию, воду и слив.</x:v>
      </x:c>
      <x:c r="M2" s="29" t="str">
        <x:v>Цены и наличие проверены 30.07.2026 для Ставрополя. Модель не считается закупочной, пока мебельщик и инженеры не подтвердили нишу, электрическую мощность, вентиляцию, воду и слив.</x:v>
      </x:c>
    </x:row>
    <x:row r="4">
      <x:c r="A4" s="10" t="str">
        <x:v>ID</x:v>
      </x:c>
      <x:c r="B4" s="32" t="str">
        <x:v>Помещение</x:v>
      </x:c>
      <x:c r="C4" s="32" t="str">
        <x:v>Тип</x:v>
      </x:c>
      <x:c r="D4" s="32" t="str">
        <x:v>Кандидат/модель</x:v>
      </x:c>
      <x:c r="E4" s="32" t="str">
        <x:v>Габариты</x:v>
      </x:c>
      <x:c r="F4" s="32" t="str">
        <x:v>Функция</x:v>
      </x:c>
      <x:c r="G4" s="32" t="str">
        <x:v>Подключения и подготовка</x:v>
      </x:c>
      <x:c r="H4" s="32" t="str">
        <x:v>Кол-во</x:v>
      </x:c>
      <x:c r="I4" s="32" t="str">
        <x:v>Цена, ₽</x:v>
      </x:c>
      <x:c r="J4" s="32" t="str">
        <x:v>Статус</x:v>
      </x:c>
      <x:c r="K4" s="32" t="str">
        <x:v>Продавец/регион</x:v>
      </x:c>
      <x:c r="L4" s="32" t="str">
        <x:v>URL</x:v>
      </x:c>
      <x:c r="M4" s="11" t="str">
        <x:v>Координация</x:v>
      </x:c>
    </x:row>
    <x:row r="5">
      <x:c r="A5" s="16" t="str">
        <x:v>T01</x:v>
      </x:c>
      <x:c r="B5" s="16" t="str">
        <x:v>Кухня</x:v>
      </x:c>
      <x:c r="C5" s="16" t="str">
        <x:v>Индукционная панель</x:v>
      </x:c>
      <x:c r="D5" s="16" t="str">
        <x:v>MAUNFELD CVI593SFBK LUX</x:v>
      </x:c>
      <x:c r="E5" s="16" t="str">
        <x:v>590×520×60 мм</x:v>
      </x:c>
      <x:c r="F5" s="16" t="str">
        <x:v>4 зоны / Flex Zone</x:v>
      </x:c>
      <x:c r="G5" s="16" t="str">
        <x:v>Выделенная линия; мощность и автомат только по паспорту и проекту ЭОМ</x:v>
      </x:c>
      <x:c r="H5" s="34" t="n">
        <x:v>1</x:v>
      </x:c>
      <x:c r="I5" s="34" t="n">
        <x:v>26240</x:v>
      </x:c>
      <x:c r="J5" s="16" t="str">
        <x:v>КАНДИДАТ</x:v>
      </x:c>
      <x:c r="K5" s="16" t="str">
        <x:v>Nadommebel, Ставрополь</x:v>
      </x:c>
      <x:c r="L5" s="16" t="str">
        <x:v>https://stavropol.nadommebel.com/catalog/varochnye-poverkhnosti/induktsionnaya-varochnaya-panel-s-flex-zone-i-booster-maunfeld-cvi593sfbk-lux/</x:v>
      </x:c>
      <x:c r="M5" s="16" t="str">
        <x:v>Согласовать вырез столешницы и вентиляционный зазор</x:v>
      </x:c>
    </x:row>
    <x:row r="6">
      <x:c r="A6" s="16" t="str">
        <x:v>T02</x:v>
      </x:c>
      <x:c r="B6" s="16" t="str">
        <x:v>Кухня</x:v>
      </x:c>
      <x:c r="C6" s="16" t="str">
        <x:v>Встраиваемый холодильник-морозильник</x:v>
      </x:c>
      <x:c r="D6" s="16" t="str">
        <x:v>MAUNFELD MBF177SWGR</x:v>
      </x:c>
      <x:c r="E6" s="16" t="str">
        <x:v>Уточнить по паспорту до заказа пенала</x:v>
      </x:c>
      <x:c r="F6" s="16" t="str">
        <x:v>Для семьи 4 человека</x:v>
      </x:c>
      <x:c r="G6" s="16" t="str">
        <x:v>Розетка 230 В в доступной соседней секции; вентиляция цоколя и верха пенала</x:v>
      </x:c>
      <x:c r="H6" s="34" t="n">
        <x:v>1</x:v>
      </x:c>
      <x:c r="I6" s="34" t="n">
        <x:v>81365</x:v>
      </x:c>
      <x:c r="J6" s="16" t="str">
        <x:v>КАНДИДАТ</x:v>
      </x:c>
      <x:c r="K6" s="16" t="str">
        <x:v>Nadommebel, Ставрополь</x:v>
      </x:c>
      <x:c r="L6" s="16" t="str">
        <x:v>https://stavropol.nadommebel.com/catalog/vstraivaemaya-tekhnika/</x:v>
      </x:c>
      <x:c r="M6" s="16" t="str">
        <x:v>Не утверждать кухню без монтажной схемы производителя</x:v>
      </x:c>
    </x:row>
    <x:row r="7">
      <x:c r="A7" s="16" t="str">
        <x:v>T03</x:v>
      </x:c>
      <x:c r="B7" s="16" t="str">
        <x:v>Кухня</x:v>
      </x:c>
      <x:c r="C7" s="16" t="str">
        <x:v>Встраиваемая вытяжка</x:v>
      </x:c>
      <x:c r="D7" s="16" t="str">
        <x:v>MAUNFELD Bay 45 Push, чёрная</x:v>
      </x:c>
      <x:c r="E7" s="16" t="str">
        <x:v>Ширина 450 мм; остальные размеры уточнить</x:v>
      </x:c>
      <x:c r="F7" s="16" t="str">
        <x:v>Только для домашней кухни</x:v>
      </x:c>
      <x:c r="G7" s="16" t="str">
        <x:v>Розетка 230 В; отдельный канал либо проверенная рециркуляция</x:v>
      </x:c>
      <x:c r="H7" s="34" t="n">
        <x:v>1</x:v>
      </x:c>
      <x:c r="I7" s="34" t="n">
        <x:v>12590</x:v>
      </x:c>
      <x:c r="J7" s="16" t="str">
        <x:v>КАНДИДАТ</x:v>
      </x:c>
      <x:c r="K7" s="16" t="str">
        <x:v>Nadommebel, Ставрополь</x:v>
      </x:c>
      <x:c r="L7" s="16" t="str">
        <x:v>https://stavropol.nadommebel.com/catalog/vstraivaemaya-tekhnika/</x:v>
      </x:c>
      <x:c r="M7" s="16" t="str">
        <x:v>Не использовать вместо дымоудаления мангальной</x:v>
      </x:c>
    </x:row>
    <x:row r="8">
      <x:c r="A8" s="16" t="str">
        <x:v>T04</x:v>
      </x:c>
      <x:c r="B8" s="16" t="str">
        <x:v>Кухня</x:v>
      </x:c>
      <x:c r="C8" s="16" t="str">
        <x:v>Посудомоечная машина</x:v>
      </x:c>
      <x:c r="D8" s="16" t="str">
        <x:v>Полновстраиваемая 600 мм — модель после сравнения</x:v>
      </x:c>
      <x:c r="E8" s="16" t="str">
        <x:v>Ниша 600 мм; паспорт модели обязателен</x:v>
      </x:c>
      <x:c r="F8" s="16" t="str">
        <x:v>Не менее 13 комплектов</x:v>
      </x:c>
      <x:c r="G8" s="16" t="str">
        <x:v>ХВС с краном, слив с обратной петлёй, отдельная доступная розетка</x:v>
      </x:c>
      <x:c r="H8" s="34" t="n">
        <x:v>1</x:v>
      </x:c>
      <x:c r="I8" s="34"/>
      <x:c r="J8" s="16" t="str">
        <x:v>НУЖНО 3 ПРЕДЛОЖЕНИЯ</x:v>
      </x:c>
      <x:c r="K8" s="16" t="str">
        <x:v>Ставрополь</x:v>
      </x:c>
      <x:c r="L8" s="16" t="str">
        <x:v>https://stavropol.nadommebel.com/catalog/vstraivaemye-posudomoechnye-mashiny/</x:v>
      </x:c>
      <x:c r="M8" s="16" t="str">
        <x:v>Проверить защиту от протечек и сервис в регионе</x:v>
      </x:c>
    </x:row>
    <x:row r="9">
      <x:c r="A9" s="16" t="str">
        <x:v>T05</x:v>
      </x:c>
      <x:c r="B9" s="16" t="str">
        <x:v>Кухня</x:v>
      </x:c>
      <x:c r="C9" s="16" t="str">
        <x:v>Духовой шкаф</x:v>
      </x:c>
      <x:c r="D9" s="16" t="str">
        <x:v>Встраиваемый 600 мм — модель после сравнения</x:v>
      </x:c>
      <x:c r="E9" s="16" t="str">
        <x:v>Ниша и зазоры по паспорту</x:v>
      </x:c>
      <x:c r="F9" s="16" t="str">
        <x:v>Конвекция, блокировка от детей</x:v>
      </x:c>
      <x:c r="G9" s="16" t="str">
        <x:v>Выделенная линия; не ставить розетку за горячим корпусом</x:v>
      </x:c>
      <x:c r="H9" s="34" t="n">
        <x:v>1</x:v>
      </x:c>
      <x:c r="I9" s="34"/>
      <x:c r="J9" s="16" t="str">
        <x:v>НУЖНО 3 ПРЕДЛОЖЕНИЯ</x:v>
      </x:c>
      <x:c r="K9" s="16" t="str">
        <x:v>Ставрополь</x:v>
      </x:c>
      <x:c r="L9" s="16" t="str">
        <x:v>https://stavropol.nadommebel.com/catalog/dukhovye-shkafy/</x:v>
      </x:c>
      <x:c r="M9" s="16" t="str">
        <x:v>Согласовать высоту установки с Олесей</x:v>
      </x:c>
    </x:row>
    <x:row r="10">
      <x:c r="A10" s="16" t="str">
        <x:v>T06</x:v>
      </x:c>
      <x:c r="B10" s="16" t="str">
        <x:v>Кухня</x:v>
      </x:c>
      <x:c r="C10" s="16" t="str">
        <x:v>СВЧ</x:v>
      </x:c>
      <x:c r="D10" s="16" t="str">
        <x:v>Встраиваемая — модель после сравнения</x:v>
      </x:c>
      <x:c r="E10" s="16" t="str">
        <x:v>Ниша по паспорту</x:v>
      </x:c>
      <x:c r="F10" s="16" t="str">
        <x:v>20–25 л</x:v>
      </x:c>
      <x:c r="G10" s="16" t="str">
        <x:v>Розетка в доступной соседней секции; вентиляционные зазоры</x:v>
      </x:c>
      <x:c r="H10" s="34" t="n">
        <x:v>1</x:v>
      </x:c>
      <x:c r="I10" s="34"/>
      <x:c r="J10" s="16" t="str">
        <x:v>НУЖНО 3 ПРЕДЛОЖЕНИЯ</x:v>
      </x:c>
      <x:c r="K10" s="16" t="str">
        <x:v>Ставрополь</x:v>
      </x:c>
      <x:c r="L10" s="16" t="str">
        <x:v>https://stavropol.nadommebel.com/catalog/mikrovolnovye-pechi/</x:v>
      </x:c>
      <x:c r="M10" s="16" t="str">
        <x:v>Не размещать слишком высоко для безопасного извлечения горячей посуды</x:v>
      </x:c>
    </x:row>
    <x:row r="11">
      <x:c r="A11" s="16" t="str">
        <x:v>T07</x:v>
      </x:c>
      <x:c r="B11" s="16" t="str">
        <x:v>Постирочная</x:v>
      </x:c>
      <x:c r="C11" s="16" t="str">
        <x:v>Стиральная машина</x:v>
      </x:c>
      <x:c r="D11" s="16" t="str">
        <x:v>Фронтальная 8–9 кг — модель после сравнения</x:v>
      </x:c>
      <x:c r="E11" s="16" t="str">
        <x:v>Ориентир 600×600×850 мм</x:v>
      </x:c>
      <x:c r="F11" s="16" t="str">
        <x:v>Инвертор, защита от протечек</x:v>
      </x:c>
      <x:c r="G11" s="16" t="str">
        <x:v>ХВС, слив, отдельная розетка вне мокрой зоны</x:v>
      </x:c>
      <x:c r="H11" s="34" t="n">
        <x:v>1</x:v>
      </x:c>
      <x:c r="I11" s="34"/>
      <x:c r="J11" s="16" t="str">
        <x:v>НУЖНО 3 ПРЕДЛОЖЕНИЯ</x:v>
      </x:c>
      <x:c r="K11" s="16" t="str">
        <x:v>Ставрополь</x:v>
      </x:c>
      <x:c r="L11" s="16" t="str"/>
      <x:c r="M11" s="16" t="str">
        <x:v>После обмера определить встройку или отдельностоящую</x:v>
      </x:c>
    </x:row>
    <x:row r="12">
      <x:c r="A12" s="16" t="str">
        <x:v>T08</x:v>
      </x:c>
      <x:c r="B12" s="16" t="str">
        <x:v>Постирочная</x:v>
      </x:c>
      <x:c r="C12" s="16" t="str">
        <x:v>Сушильная машина</x:v>
      </x:c>
      <x:c r="D12" s="16" t="str">
        <x:v>С тепловым насосом 8–9 кг — модель после сравнения</x:v>
      </x:c>
      <x:c r="E12" s="16" t="str">
        <x:v>Ориентир 600×650×850 мм</x:v>
      </x:c>
      <x:c r="F12" s="16" t="str">
        <x:v>Комплект в колонну</x:v>
      </x:c>
      <x:c r="G12" s="16" t="str">
        <x:v>Отдельная розетка; отвод конденсата по паспорту; вентиляция шкафа</x:v>
      </x:c>
      <x:c r="H12" s="34" t="n">
        <x:v>1</x:v>
      </x:c>
      <x:c r="I12" s="34"/>
      <x:c r="J12" s="16" t="str">
        <x:v>НУЖНО 3 ПРЕДЛОЖЕНИЯ</x:v>
      </x:c>
      <x:c r="K12" s="16" t="str">
        <x:v>Ставрополь</x:v>
      </x:c>
      <x:c r="L12" s="16" t="str"/>
      <x:c r="M12" s="16" t="str">
        <x:v>Соединительный комплект только совместимый с выбранной стиральной</x:v>
      </x:c>
    </x:row>
    <x:row r="13">
      <x:c r="A13" s="16" t="str">
        <x:v>T09</x:v>
      </x:c>
      <x:c r="B13" s="16" t="str">
        <x:v>Гостиная</x:v>
      </x:c>
      <x:c r="C13" s="16" t="str">
        <x:v>Телевизор</x:v>
      </x:c>
      <x:c r="D13" s="16" t="str">
        <x:v>65 дюймов — модель после светотехнической проверки</x:v>
      </x:c>
      <x:c r="E13" s="16" t="str">
        <x:v>Габарит зависит от модели</x:v>
      </x:c>
      <x:c r="F13" s="16" t="str">
        <x:v>Антиблик, настенный монтаж</x:v>
      </x:c>
      <x:c r="G13" s="16" t="str">
        <x:v>Розетки, LAN, резервный кабельный канал за экраном</x:v>
      </x:c>
      <x:c r="H13" s="34" t="n">
        <x:v>1</x:v>
      </x:c>
      <x:c r="I13" s="34"/>
      <x:c r="J13" s="16" t="str">
        <x:v>ПОСЛЕ ПЛАНА МЕБЕЛИ</x:v>
      </x:c>
      <x:c r="K13" s="16" t="str">
        <x:v>Ставрополь</x:v>
      </x:c>
      <x:c r="L13" s="16" t="str"/>
      <x:c r="M13" s="16" t="str">
        <x:v>Не располагать напротив прямого солнечного блика</x:v>
      </x:c>
    </x:row>
    <x:row r="14">
      <x:c r="A14" s="16" t="str">
        <x:v>T10</x:v>
      </x:c>
      <x:c r="B14" s="16" t="str">
        <x:v>Дом</x:v>
      </x:c>
      <x:c r="C14" s="16" t="str">
        <x:v>Кондиционирование</x:v>
      </x:c>
      <x:c r="D14" s="16" t="str">
        <x:v>Мультисплит или отдельные сплиты — после теплопритоков</x:v>
      </x:c>
      <x:c r="E14" s="16" t="str">
        <x:v>По расчёту помещений</x:v>
      </x:c>
      <x:c r="F14" s="16" t="str">
        <x:v>Тихие внутренние блоки</x:v>
      </x:c>
      <x:c r="G14" s="16" t="str">
        <x:v>Питание, дренаж самотёком, трассы до чистовой отделки</x:v>
      </x:c>
      <x:c r="H14" s="34"/>
      <x:c r="I14" s="34"/>
      <x:c r="J14" s="16" t="str">
        <x:v>BLOCKED</x:v>
      </x:c>
      <x:c r="K14" s="16" t="str">
        <x:v>Ставрополь</x:v>
      </x:c>
      <x:c r="L14" s="16" t="str"/>
      <x:c r="M14" s="16" t="str">
        <x:v>Нужны ориентация окон, площади и трассы без порчи фасада</x:v>
      </x:c>
    </x:row>
    <x:row r="15">
      <x:c r="A15" s="16" t="str">
        <x:v>T11</x:v>
      </x:c>
      <x:c r="B15" s="16" t="str">
        <x:v>Котельная</x:v>
      </x:c>
      <x:c r="C15" s="16" t="str">
        <x:v>Газовый котёл</x:v>
      </x:c>
      <x:c r="D15" s="16" t="str">
        <x:v>Модель не выбрана</x:v>
      </x:c>
      <x:c r="E15" s="16" t="str">
        <x:v>По теплотехническому расчёту и ТУ</x:v>
      </x:c>
      <x:c r="F15" s="16" t="str">
        <x:v>Цена 25 кВт — только контрольный ориентир</x:v>
      </x:c>
      <x:c r="G15" s="16" t="str">
        <x:v>Газ, дымоудаление, воздух, конденсат и электропитание по согласованному проекту</x:v>
      </x:c>
      <x:c r="H15" s="34" t="n">
        <x:v>1</x:v>
      </x:c>
      <x:c r="I15" s="34" t="n">
        <x:v>50525</x:v>
      </x:c>
      <x:c r="J15" s="16" t="str">
        <x:v>НЕ ВЫБРАНО</x:v>
      </x:c>
      <x:c r="K15" s="16" t="str">
        <x:v>Лемана ПРО, Ставрополь</x:v>
      </x:c>
      <x:c r="L15" s="16" t="str">
        <x:v>https://stavropol.lemanapro.ru/catalogue/kotly-otopitelnye-gazovye/25-kvt/</x:v>
      </x:c>
      <x:c r="M15" s="16" t="str">
        <x:v>Не покупать до расчёта теплопотерь и условий газовой службы</x:v>
      </x:c>
    </x:row>
    <x:row r="16">
      <x:c r="A16" s="16" t="str">
        <x:v>T12</x:v>
      </x:c>
      <x:c r="B16" s="16" t="str">
        <x:v>Мангальная</x:v>
      </x:c>
      <x:c r="C16" s="16" t="str">
        <x:v>Зонт и дымоудаление</x:v>
      </x:c>
      <x:c r="D16" s="16" t="str">
        <x:v>Индивидуальное негорючее исполнение</x:v>
      </x:c>
      <x:c r="E16" s="16" t="str">
        <x:v>По фактической топке и расчёту</x:v>
      </x:c>
      <x:c r="F16" s="16" t="str">
        <x:v>Отдельный зонт над жаровой зоной</x:v>
      </x:c>
      <x:c r="G16" s="16" t="str">
        <x:v>Канал, компенсированный приток, чистка, пожарные отступы</x:v>
      </x:c>
      <x:c r="H16" s="34" t="n">
        <x:v>1</x:v>
      </x:c>
      <x:c r="I16" s="34"/>
      <x:c r="J16" s="16" t="str">
        <x:v>BLOCKED</x:v>
      </x:c>
      <x:c r="K16" s="16" t="str">
        <x:v>Проектировщик вентиляции/печник</x:v>
      </x:c>
      <x:c r="L16" s="16" t="str"/>
      <x:c r="M16" s="16" t="str">
        <x:v>Бытовая кухонная вытяжка здесь недопустима как проектное решение</x:v>
      </x:c>
    </x:row>
  </x:sheetData>
  <x:mergeCells>
    <x:mergeCell ref="A1:M1"/>
    <x:mergeCell ref="A2:M2"/>
  </x:mergeCells>
  <x:conditionalFormatting sqref="J5:J16">
    <x:cfRule type="containsText" dxfId="8" priority="1" operator="containsText" text="BLOCKED"/>
    <x:cfRule type="containsText" dxfId="9" priority="2" operator="containsText" text="КАНДИДАТ"/>
  </x:conditionalFormatting>
  <x:pageMargins left="0.7" right="0.7" top="0.75" bottom="0.75" header="0.3" footer="0.3"/>
  <x:tableParts count="1">
    <x:tablePart xmlns:r="http://schemas.openxmlformats.org/officeDocument/2006/relationships" r:id="R10a503ce4264407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36" hidden="0" customWidth="1"/>
    <x:col min="4" max="4" width="32" hidden="0" customWidth="1"/>
    <x:col min="5" max="5" width="10" hidden="0" customWidth="1"/>
    <x:col min="6" max="6" width="24" hidden="0" customWidth="1"/>
    <x:col min="7" max="7" width="22" hidden="0" customWidth="1"/>
    <x:col min="8" max="8" width="34" hidden="0" customWidth="1"/>
    <x:col min="9" max="9" width="18" hidden="0" customWidth="1"/>
    <x:col min="10" max="10" width="27" hidden="0" customWidth="1"/>
    <x:col min="11" max="11" width="24" hidden="0" customWidth="1"/>
    <x:col min="12" max="12" width="36" hidden="0" customWidth="1"/>
    <x:col min="13" max="13" width="16" hidden="0" customWidth="1"/>
    <x:col min="14" max="14" width="30" hidden="0" customWidth="1"/>
    <x:col min="15" max="15" width="68" hidden="0" customWidth="1"/>
    <x:col min="16" max="16" width="25" hidden="0" customWidth="1"/>
    <x:col min="17" max="17" width="48" hidden="0" customWidth="1"/>
  </x:cols>
  <x:sheetData>
    <x:row r="1" ht="30" customHeight="1">
      <x:c r="A1" s="3" t="str">
        <x:v>Озеленение: что, где, сколько, взрослый размер и шаг посадки</x:v>
      </x:c>
      <x:c r="B1" s="3" t="str">
        <x:v>Озеленение: что, где, сколько, взрослый размер и шаг посадки</x:v>
      </x:c>
      <x:c r="C1" s="3" t="str">
        <x:v>Озеленение: что, где, сколько, взрослый размер и шаг посадки</x:v>
      </x:c>
      <x:c r="D1" s="3" t="str">
        <x:v>Озеленение: что, где, сколько, взрослый размер и шаг посадки</x:v>
      </x:c>
      <x:c r="E1" s="3" t="str">
        <x:v>Озеленение: что, где, сколько, взрослый размер и шаг посадки</x:v>
      </x:c>
      <x:c r="F1" s="3" t="str">
        <x:v>Озеленение: что, где, сколько, взрослый размер и шаг посадки</x:v>
      </x:c>
      <x:c r="G1" s="3" t="str">
        <x:v>Озеленение: что, где, сколько, взрослый размер и шаг посадки</x:v>
      </x:c>
      <x:c r="H1" s="3" t="str">
        <x:v>Озеленение: что, где, сколько, взрослый размер и шаг посадки</x:v>
      </x:c>
      <x:c r="I1" s="3" t="str">
        <x:v>Озеленение: что, где, сколько, взрослый размер и шаг посадки</x:v>
      </x:c>
      <x:c r="J1" s="3" t="str">
        <x:v>Озеленение: что, где, сколько, взрослый размер и шаг посадки</x:v>
      </x:c>
      <x:c r="K1" s="3" t="str">
        <x:v>Озеленение: что, где, сколько, взрослый размер и шаг посадки</x:v>
      </x:c>
      <x:c r="L1" s="3" t="str">
        <x:v>Озеленение: что, где, сколько, взрослый размер и шаг посадки</x:v>
      </x:c>
      <x:c r="M1" s="3" t="str">
        <x:v>Озеленение: что, где, сколько, взрослый размер и шаг посадки</x:v>
      </x:c>
      <x:c r="N1" s="3" t="str">
        <x:v>Озеленение: что, где, сколько, взрослый размер и шаг посадки</x:v>
      </x:c>
      <x:c r="O1" s="3" t="str">
        <x:v>Озеленение: что, где, сколько, взрослый размер и шаг посадки</x:v>
      </x:c>
      <x:c r="P1" s="3" t="str">
        <x:v>Озеленение: что, где, сколько, взрослый размер и шаг посадки</x:v>
      </x:c>
      <x:c r="Q1" s="3" t="str">
        <x:v>Озеленение: что, где, сколько, взрослый размер и шаг посадки</x:v>
      </x:c>
    </x:row>
    <x:row r="2">
      <x:c r="A2" s="29" t="str">
        <x:v>Это проверяемая концепция по текущей модели: 37 растений, деревьев нет. До закупки обязательны адрес участка, стороны света, анализ/осмотр грунта, отметки воды и схема полива. Визуализация должна показывать состояния «после посадки», «3-й год» и «взрослое».</x:v>
      </x:c>
      <x:c r="B2" s="29" t="str">
        <x:v>Это проверяемая концепция по текущей модели: 37 растений, деревьев нет. До закупки обязательны адрес участка, стороны света, анализ/осмотр грунта, отметки воды и схема полива. Визуализация должна показывать состояния «после посадки», «3-й год» и «взрослое».</x:v>
      </x:c>
      <x:c r="C2" s="29" t="str">
        <x:v>Это проверяемая концепция по текущей модели: 37 растений, деревьев нет. До закупки обязательны адрес участка, стороны света, анализ/осмотр грунта, отметки воды и схема полива. Визуализация должна показывать состояния «после посадки», «3-й год» и «взрослое».</x:v>
      </x:c>
      <x:c r="D2" s="29" t="str">
        <x:v>Это проверяемая концепция по текущей модели: 37 растений, деревьев нет. До закупки обязательны адрес участка, стороны света, анализ/осмотр грунта, отметки воды и схема полива. Визуализация должна показывать состояния «после посадки», «3-й год» и «взрослое».</x:v>
      </x:c>
      <x:c r="E2" s="29" t="str">
        <x:v>Это проверяемая концепция по текущей модели: 37 растений, деревьев нет. До закупки обязательны адрес участка, стороны света, анализ/осмотр грунта, отметки воды и схема полива. Визуализация должна показывать состояния «после посадки», «3-й год» и «взрослое».</x:v>
      </x:c>
      <x:c r="F2" s="29" t="str">
        <x:v>Это проверяемая концепция по текущей модели: 37 растений, деревьев нет. До закупки обязательны адрес участка, стороны света, анализ/осмотр грунта, отметки воды и схема полива. Визуализация должна показывать состояния «после посадки», «3-й год» и «взрослое».</x:v>
      </x:c>
      <x:c r="G2" s="29" t="str">
        <x:v>Это проверяемая концепция по текущей модели: 37 растений, деревьев нет. До закупки обязательны адрес участка, стороны света, анализ/осмотр грунта, отметки воды и схема полива. Визуализация должна показывать состояния «после посадки», «3-й год» и «взрослое».</x:v>
      </x:c>
      <x:c r="H2" s="29" t="str">
        <x:v>Это проверяемая концепция по текущей модели: 37 растений, деревьев нет. До закупки обязательны адрес участка, стороны света, анализ/осмотр грунта, отметки воды и схема полива. Визуализация должна показывать состояния «после посадки», «3-й год» и «взрослое».</x:v>
      </x:c>
      <x:c r="I2" s="29" t="str">
        <x:v>Это проверяемая концепция по текущей модели: 37 растений, деревьев нет. До закупки обязательны адрес участка, стороны света, анализ/осмотр грунта, отметки воды и схема полива. Визуализация должна показывать состояния «после посадки», «3-й год» и «взрослое».</x:v>
      </x:c>
      <x:c r="J2" s="29" t="str">
        <x:v>Это проверяемая концепция по текущей модели: 37 растений, деревьев нет. До закупки обязательны адрес участка, стороны света, анализ/осмотр грунта, отметки воды и схема полива. Визуализация должна показывать состояния «после посадки», «3-й год» и «взрослое».</x:v>
      </x:c>
      <x:c r="K2" s="29" t="str">
        <x:v>Это проверяемая концепция по текущей модели: 37 растений, деревьев нет. До закупки обязательны адрес участка, стороны света, анализ/осмотр грунта, отметки воды и схема полива. Визуализация должна показывать состояния «после посадки», «3-й год» и «взрослое».</x:v>
      </x:c>
      <x:c r="L2" s="29" t="str">
        <x:v>Это проверяемая концепция по текущей модели: 37 растений, деревьев нет. До закупки обязательны адрес участка, стороны света, анализ/осмотр грунта, отметки воды и схема полива. Визуализация должна показывать состояния «после посадки», «3-й год» и «взрослое».</x:v>
      </x:c>
      <x:c r="M2" s="29" t="str">
        <x:v>Это проверяемая концепция по текущей модели: 37 растений, деревьев нет. До закупки обязательны адрес участка, стороны света, анализ/осмотр грунта, отметки воды и схема полива. Визуализация должна показывать состояния «после посадки», «3-й год» и «взрослое».</x:v>
      </x:c>
      <x:c r="N2" s="29" t="str">
        <x:v>Это проверяемая концепция по текущей модели: 37 растений, деревьев нет. До закупки обязательны адрес участка, стороны света, анализ/осмотр грунта, отметки воды и схема полива. Визуализация должна показывать состояния «после посадки», «3-й год» и «взрослое».</x:v>
      </x:c>
      <x:c r="O2" s="29" t="str">
        <x:v>Это проверяемая концепция по текущей модели: 37 растений, деревьев нет. До закупки обязательны адрес участка, стороны света, анализ/осмотр грунта, отметки воды и схема полива. Визуализация должна показывать состояния «после посадки», «3-й год» и «взрослое».</x:v>
      </x:c>
      <x:c r="P2" s="29" t="str">
        <x:v>Это проверяемая концепция по текущей модели: 37 растений, деревьев нет. До закупки обязательны адрес участка, стороны света, анализ/осмотр грунта, отметки воды и схема полива. Визуализация должна показывать состояния «после посадки», «3-й год» и «взрослое».</x:v>
      </x:c>
      <x:c r="Q2" s="29" t="str">
        <x:v>Это проверяемая концепция по текущей модели: 37 растений, деревьев нет. До закупки обязательны адрес участка, стороны света, анализ/осмотр грунта, отметки воды и схема полива. Визуализация должна показывать состояния «после посадки», «3-й год» и «взрослое».</x:v>
      </x:c>
    </x:row>
    <x:row r="4">
      <x:c r="A4" s="10" t="str">
        <x:v>ID</x:v>
      </x:c>
      <x:c r="B4" s="32" t="str">
        <x:v>Зона</x:v>
      </x:c>
      <x:c r="C4" s="32" t="str">
        <x:v>Русское название/сорт</x:v>
      </x:c>
      <x:c r="D4" s="32" t="str">
        <x:v>Ботаническое название</x:v>
      </x:c>
      <x:c r="E4" s="32" t="str">
        <x:v>Кол-во</x:v>
      </x:c>
      <x:c r="F4" s="32" t="str">
        <x:v>Посадочный размер</x:v>
      </x:c>
      <x:c r="G4" s="32" t="str">
        <x:v>Взрослый H×W</x:v>
      </x:c>
      <x:c r="H4" s="32" t="str">
        <x:v>Шаг по центрам</x:v>
      </x:c>
      <x:c r="I4" s="32" t="str">
        <x:v>Свет</x:v>
      </x:c>
      <x:c r="J4" s="32" t="str">
        <x:v>Почва/дренаж</x:v>
      </x:c>
      <x:c r="K4" s="32" t="str">
        <x:v>Полив</x:v>
      </x:c>
      <x:c r="L4" s="32" t="str">
        <x:v>Цветение/декоративность</x:v>
      </x:c>
      <x:c r="M4" s="32" t="str">
        <x:v>Цена от, ₽/шт</x:v>
      </x:c>
      <x:c r="N4" s="32" t="str">
        <x:v>Продавец</x:v>
      </x:c>
      <x:c r="O4" s="32" t="str">
        <x:v>URL</x:v>
      </x:c>
      <x:c r="P4" s="32" t="str">
        <x:v>Статус</x:v>
      </x:c>
      <x:c r="Q4" s="11" t="str">
        <x:v>Отступы и контроль</x:v>
      </x:c>
    </x:row>
    <x:row r="5">
      <x:c r="A5" s="16" t="str">
        <x:v>P01</x:v>
      </x:c>
      <x:c r="B5" s="16" t="str">
        <x:v>Правая полоса переднего двора</x:v>
      </x:c>
      <x:c r="C5" s="16" t="str">
        <x:v>Гортензия метельчатая Little Lime (‘Jane’)</x:v>
      </x:c>
      <x:c r="D5" s="16" t="str">
        <x:v>Hydrangea paniculata ‘Jane’</x:v>
      </x:c>
      <x:c r="E5" s="42" t="n">
        <x:v>4</x:v>
      </x:c>
      <x:c r="F5" s="16" t="str">
        <x:v>C3, фактическую высоту указать в КП</x:v>
      </x:c>
      <x:c r="G5" s="16" t="str">
        <x:v>1,0–1,5 × 1,0–1,5 м</x:v>
      </x:c>
      <x:c r="H5" s="16" t="str">
        <x:v>4,0 м в текущей модели, с мискантусом между кустами</x:v>
      </x:c>
      <x:c r="I5" s="16" t="str">
        <x:v>Солнце/полутень</x:v>
      </x:c>
      <x:c r="J5" s="16" t="str">
        <x:v>Влажная, но дренированная</x:v>
      </x:c>
      <x:c r="K5" s="16" t="str">
        <x:v>Капельный; не пересушивать</x:v>
      </x:c>
      <x:c r="L5" s="16" t="str">
        <x:v>Июль–осень, лайм→белый→розовый</x:v>
      </x:c>
      <x:c r="M5" s="34"/>
      <x:c r="N5" s="16" t="str">
        <x:v>Знак Земли, Ставрополь</x:v>
      </x:c>
      <x:c r="O5" s="16" t="str">
        <x:v>https://stavropol.zpitomnik.ru/catalog/kustarniki/gortenziya_metelchataya_3_metra/</x:v>
      </x:c>
      <x:c r="P5" s="16" t="str">
        <x:v>КОНЦЕПЦИЯ</x:v>
      </x:c>
      <x:c r="Q5" s="16" t="str">
        <x:v>Отступ от бетона не менее радиуса взрослой кроны + 0,2 м</x:v>
      </x:c>
    </x:row>
    <x:row r="6">
      <x:c r="A6" s="16" t="str">
        <x:v>P02</x:v>
      </x:c>
      <x:c r="B6" s="16" t="str">
        <x:v>Правая полоса ближе к заднему двору</x:v>
      </x:c>
      <x:c r="C6" s="16" t="str">
        <x:v>Спирея японская Little Princess</x:v>
      </x:c>
      <x:c r="D6" s="16" t="str">
        <x:v>Spiraea japonica ‘Little Princess’</x:v>
      </x:c>
      <x:c r="E6" s="42" t="n">
        <x:v>3</x:v>
      </x:c>
      <x:c r="F6" s="16" t="str">
        <x:v>C2–C3, уточнить</x:v>
      </x:c>
      <x:c r="G6" s="16" t="str">
        <x:v>0,5–1,0 × 0,5–1,0 м</x:v>
      </x:c>
      <x:c r="H6" s="16" t="str">
        <x:v>2,4 м в модели; свободные акценты, не изгородь</x:v>
      </x:c>
      <x:c r="I6" s="16" t="str">
        <x:v>Солнце/лёгкая полутень</x:v>
      </x:c>
      <x:c r="J6" s="16" t="str">
        <x:v>Дренированная</x:v>
      </x:c>
      <x:c r="K6" s="16" t="str">
        <x:v>Умеренный капельный</x:v>
      </x:c>
      <x:c r="L6" s="16" t="str">
        <x:v>Летнее розовое цветение</x:v>
      </x:c>
      <x:c r="M6" s="34"/>
      <x:c r="N6" s="16" t="str">
        <x:v>Знак Земли, Ставрополь — на момент проверки нет в наличии</x:v>
      </x:c>
      <x:c r="O6" s="16" t="str">
        <x:v>https://stavropol.zpitomnik.ru/catalog/spireya/</x:v>
      </x:c>
      <x:c r="P6" s="16" t="str">
        <x:v>НУЖНА ЗАМЕНА ИЛИ БРОНЬ</x:v>
      </x:c>
      <x:c r="Q6" s="16" t="str">
        <x:v>Подтвердить наличие до фиксации сорта</x:v>
      </x:c>
    </x:row>
    <x:row r="7">
      <x:c r="A7" s="16" t="str">
        <x:v>P03</x:v>
      </x:c>
      <x:c r="B7" s="16" t="str">
        <x:v>Конец правой полосы, экран заднего двора</x:v>
      </x:c>
      <x:c r="C7" s="16" t="str">
        <x:v>Дёрен белый Sibirica Variegata</x:v>
      </x:c>
      <x:c r="D7" s="16" t="str">
        <x:v>Cornus alba ‘Sibirica Variegata’</x:v>
      </x:c>
      <x:c r="E7" s="42" t="n">
        <x:v>2</x:v>
      </x:c>
      <x:c r="F7" s="16" t="str">
        <x:v>C3–C5, уточнить</x:v>
      </x:c>
      <x:c r="G7" s="16" t="str">
        <x:v>1,5–2,5 × 1,5–2,5 м</x:v>
      </x:c>
      <x:c r="H7" s="16" t="str">
        <x:v>1,8 м по центрам</x:v>
      </x:c>
      <x:c r="I7" s="16" t="str">
        <x:v>Солнце/полутень</x:v>
      </x:c>
      <x:c r="J7" s="16" t="str">
        <x:v>Влагоёмкая, дренированная</x:v>
      </x:c>
      <x:c r="K7" s="16" t="str">
        <x:v>Регулярный в первый сезон</x:v>
      </x:c>
      <x:c r="L7" s="16" t="str">
        <x:v>Пёстрая листва, красные зимние побеги</x:v>
      </x:c>
      <x:c r="M7" s="34" t="n">
        <x:v>540</x:v>
      </x:c>
      <x:c r="N7" s="16" t="str">
        <x:v>Растения24, пункт выдачи Ставрополь</x:v>
      </x:c>
      <x:c r="O7" s="16" t="str">
        <x:v>https://stavropol.rasteniya24.ru/deren/</x:v>
      </x:c>
      <x:c r="P7" s="16" t="str">
        <x:v>КОНЦЕПЦИЯ</x:v>
      </x:c>
      <x:c r="Q7" s="16" t="str">
        <x:v>Не прижимать к забору; оставить проход для обрезки</x:v>
      </x:c>
    </x:row>
    <x:row r="8">
      <x:c r="A8" s="16" t="str">
        <x:v>P04</x:v>
      </x:c>
      <x:c r="B8" s="16" t="str">
        <x:v>Ритм вдоль правой стороны двора</x:v>
      </x:c>
      <x:c r="C8" s="16" t="str">
        <x:v>Мискантус китайский Adagio</x:v>
      </x:c>
      <x:c r="D8" s="16" t="str">
        <x:v>Miscanthus sinensis ‘Adagio’</x:v>
      </x:c>
      <x:c r="E8" s="42" t="n">
        <x:v>6</x:v>
      </x:c>
      <x:c r="F8" s="16" t="str">
        <x:v>C2–C3, уточнить</x:v>
      </x:c>
      <x:c r="G8" s="16" t="str">
        <x:v>1,0–1,5 × 0,5–1,0 м</x:v>
      </x:c>
      <x:c r="H8" s="16" t="str">
        <x:v>4,0 м в основной полосе</x:v>
      </x:c>
      <x:c r="I8" s="16" t="str">
        <x:v>Полное солнце</x:v>
      </x:c>
      <x:c r="J8" s="16" t="str">
        <x:v>Влажная, но дренированная</x:v>
      </x:c>
      <x:c r="K8" s="16" t="str">
        <x:v>Капельный в первый сезон</x:v>
      </x:c>
      <x:c r="L8" s="16" t="str">
        <x:v>Метёлки с конца лета, зимний силуэт</x:v>
      </x:c>
      <x:c r="M8" s="34"/>
      <x:c r="N8" s="16" t="str">
        <x:v>Запросить местный питомник</x:v>
      </x:c>
      <x:c r="O8" s="16" t="str">
        <x:v>https://stavropol.rasteniya24.ru/mnogoletniki/</x:v>
      </x:c>
      <x:c r="P8" s="16" t="str">
        <x:v>КОНЦЕПЦИЯ</x:v>
      </x:c>
      <x:c r="Q8" s="16" t="str">
        <x:v>Не закрывать обзор выезда; весенняя обрезка до отрастания</x:v>
      </x:c>
    </x:row>
    <x:row r="9">
      <x:c r="A9" s="16" t="str">
        <x:v>P05</x:v>
      </x:c>
      <x:c r="B9" s="16" t="str">
        <x:v>Передний ярус у задней террасы/мангальной</x:v>
      </x:c>
      <x:c r="C9" s="16" t="str">
        <x:v>Шалфей дубравный Caradonna</x:v>
      </x:c>
      <x:c r="D9" s="16" t="str">
        <x:v>Salvia nemorosa ‘Caradonna’</x:v>
      </x:c>
      <x:c r="E9" s="42" t="n">
        <x:v>10</x:v>
      </x:c>
      <x:c r="F9" s="16" t="str">
        <x:v>P9–C2, уточнить</x:v>
      </x:c>
      <x:c r="G9" s="16" t="str">
        <x:v>0,4–0,6 × 0,35–0,5 м</x:v>
      </x:c>
      <x:c r="H9" s="16" t="str">
        <x:v>0,70 м по центрам — свободная лента</x:v>
      </x:c>
      <x:c r="I9" s="16" t="str">
        <x:v>Полное солнце</x:v>
      </x:c>
      <x:c r="J9" s="16" t="str">
        <x:v>Дренированная, без застоя</x:v>
      </x:c>
      <x:c r="K9" s="16" t="str">
        <x:v>Умеренный</x:v>
      </x:c>
      <x:c r="L9" s="16" t="str">
        <x:v>Фиолетовые свечи летом, повтор после обрезки</x:v>
      </x:c>
      <x:c r="M9" s="34"/>
      <x:c r="N9" s="16" t="str">
        <x:v>Запросить местный питомник</x:v>
      </x:c>
      <x:c r="O9" s="16" t="str">
        <x:v>https://stavropol.zpitomnik.ru/catalog/shalfey/</x:v>
      </x:c>
      <x:c r="P9" s="16" t="str">
        <x:v>КОНЦЕПЦИЯ</x:v>
      </x:c>
      <x:c r="Q9" s="16" t="str">
        <x:v>Для плотной ленты после обмера может потребоваться шаг 0,4–0,5 м</x:v>
      </x:c>
    </x:row>
    <x:row r="10">
      <x:c r="A10" s="16" t="str">
        <x:v>P06</x:v>
      </x:c>
      <x:c r="B10" s="16" t="str">
        <x:v>Солнечный край зоны отдыха</x:v>
      </x:c>
      <x:c r="C10" s="16" t="str">
        <x:v>Лаванда узколистная Hidcote</x:v>
      </x:c>
      <x:c r="D10" s="16" t="str">
        <x:v>Lavandula angustifolia ‘Hidcote’</x:v>
      </x:c>
      <x:c r="E10" s="42" t="n">
        <x:v>12</x:v>
      </x:c>
      <x:c r="F10" s="16" t="str">
        <x:v>P9–C2, уточнить</x:v>
      </x:c>
      <x:c r="G10" s="16" t="str">
        <x:v>0,3–0,5 × 0,5–1,0 м</x:v>
      </x:c>
      <x:c r="H10" s="16" t="str">
        <x:v>0,70 м по центрам</x:v>
      </x:c>
      <x:c r="I10" s="16" t="str">
        <x:v>Полное солнце</x:v>
      </x:c>
      <x:c r="J10" s="16" t="str">
        <x:v>Очень хорошо дренированная</x:v>
      </x:c>
      <x:c r="K10" s="16" t="str">
        <x:v>Редкий после укоренения; без застоя</x:v>
      </x:c>
      <x:c r="L10" s="16" t="str">
        <x:v>Тёмно-фиолетовая, ароматная, лето</x:v>
      </x:c>
      <x:c r="M10" s="34"/>
      <x:c r="N10" s="16" t="str">
        <x:v>Знак Земли, Ставрополь</x:v>
      </x:c>
      <x:c r="O10" s="16" t="str">
        <x:v>https://stavropol.zpitomnik.ru/product/lavanda_uzkolistnaya_hidcote/</x:v>
      </x:c>
      <x:c r="P10" s="16" t="str">
        <x:v>КОНЦЕПЦИЯ</x:v>
      </x:c>
      <x:c r="Q10" s="16" t="str">
        <x:v>Посадка только после проверки зимней влажности и дренажа</x:v>
      </x:c>
    </x:row>
  </x:sheetData>
  <x:mergeCells>
    <x:mergeCell ref="A1:Q1"/>
    <x:mergeCell ref="A2:Q2"/>
  </x:mergeCells>
  <x:conditionalFormatting sqref="P5:P10">
    <x:cfRule type="containsText" dxfId="10" priority="1" operator="containsText" text="НУЖНА"/>
    <x:cfRule type="containsText" dxfId="11" priority="2" operator="containsText" text="КОНЦЕПЦИЯ"/>
  </x:conditionalFormatting>
  <x:pageMargins left="0.7" right="0.7" top="0.75" bottom="0.75" header="0.3" footer="0.3"/>
  <x:tableParts count="1">
    <x:tablePart xmlns:r="http://schemas.openxmlformats.org/officeDocument/2006/relationships" r:id="R3db7cb07eb1e4b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28" hidden="0" customWidth="1"/>
    <x:col min="5" max="5" width="44" hidden="0" customWidth="1"/>
    <x:col min="6" max="6" width="52" hidden="0" customWidth="1"/>
    <x:col min="7" max="7" width="15" hidden="0" customWidth="1"/>
    <x:col min="8" max="8" width="75" hidden="0" customWidth="1"/>
    <x:col min="9" max="9" width="26" hidden="0" customWidth="1"/>
    <x:col min="10" max="10" width="52" hidden="0" customWidth="1"/>
  </x:cols>
  <x:sheetData>
    <x:row r="1" ht="30" customHeight="1">
      <x:c r="A1" s="3" t="str">
        <x:v>Аудит сайтов: техника, мебель, сантехника, растения и подрядчики</x:v>
      </x:c>
      <x:c r="B1" s="3" t="str">
        <x:v>Аудит сайтов: техника, мебель, сантехника, растения и подрядчики</x:v>
      </x:c>
      <x:c r="C1" s="3" t="str">
        <x:v>Аудит сайтов: техника, мебель, сантехника, растения и подрядчики</x:v>
      </x:c>
      <x:c r="D1" s="3" t="str">
        <x:v>Аудит сайтов: техника, мебель, сантехника, растения и подрядчики</x:v>
      </x:c>
      <x:c r="E1" s="3" t="str">
        <x:v>Аудит сайтов: техника, мебель, сантехника, растения и подрядчики</x:v>
      </x:c>
      <x:c r="F1" s="3" t="str">
        <x:v>Аудит сайтов: техника, мебель, сантехника, растения и подрядчики</x:v>
      </x:c>
      <x:c r="G1" s="3" t="str">
        <x:v>Аудит сайтов: техника, мебель, сантехника, растения и подрядчики</x:v>
      </x:c>
      <x:c r="H1" s="3" t="str">
        <x:v>Аудит сайтов: техника, мебель, сантехника, растения и подрядчики</x:v>
      </x:c>
      <x:c r="I1" s="3" t="str">
        <x:v>Аудит сайтов: техника, мебель, сантехника, растения и подрядчики</x:v>
      </x:c>
      <x:c r="J1" s="3" t="str">
        <x:v>Аудит сайтов: техника, мебель, сантехника, растения и подрядчики</x:v>
      </x:c>
    </x:row>
    <x:row r="2">
      <x:c r="A2" s="37" t="str">
        <x:v>Проверено через открытый интернет и браузер Codex. Авито не обходится через Opera: автоматизированный доступ был запрещён системой. Профили с Авито можно проверить отдельно, если заказчик передаст прямые ссылки.</x:v>
      </x:c>
      <x:c r="B2" s="37" t="str">
        <x:v>Проверено через открытый интернет и браузер Codex. Авито не обходится через Opera: автоматизированный доступ был запрещён системой. Профили с Авито можно проверить отдельно, если заказчик передаст прямые ссылки.</x:v>
      </x:c>
      <x:c r="C2" s="37" t="str">
        <x:v>Проверено через открытый интернет и браузер Codex. Авито не обходится через Opera: автоматизированный доступ был запрещён системой. Профили с Авито можно проверить отдельно, если заказчик передаст прямые ссылки.</x:v>
      </x:c>
      <x:c r="D2" s="37" t="str">
        <x:v>Проверено через открытый интернет и браузер Codex. Авито не обходится через Opera: автоматизированный доступ был запрещён системой. Профили с Авито можно проверить отдельно, если заказчик передаст прямые ссылки.</x:v>
      </x:c>
      <x:c r="E2" s="37" t="str">
        <x:v>Проверено через открытый интернет и браузер Codex. Авито не обходится через Opera: автоматизированный доступ был запрещён системой. Профили с Авито можно проверить отдельно, если заказчик передаст прямые ссылки.</x:v>
      </x:c>
      <x:c r="F2" s="37" t="str">
        <x:v>Проверено через открытый интернет и браузер Codex. Авито не обходится через Opera: автоматизированный доступ был запрещён системой. Профили с Авито можно проверить отдельно, если заказчик передаст прямые ссылки.</x:v>
      </x:c>
      <x:c r="G2" s="37" t="str">
        <x:v>Проверено через открытый интернет и браузер Codex. Авито не обходится через Opera: автоматизированный доступ был запрещён системой. Профили с Авито можно проверить отдельно, если заказчик передаст прямые ссылки.</x:v>
      </x:c>
      <x:c r="H2" s="37" t="str">
        <x:v>Проверено через открытый интернет и браузер Codex. Авито не обходится через Opera: автоматизированный доступ был запрещён системой. Профили с Авито можно проверить отдельно, если заказчик передаст прямые ссылки.</x:v>
      </x:c>
      <x:c r="I2" s="37" t="str">
        <x:v>Проверено через открытый интернет и браузер Codex. Авито не обходится через Opera: автоматизированный доступ был запрещён системой. Профили с Авито можно проверить отдельно, если заказчик передаст прямые ссылки.</x:v>
      </x:c>
      <x:c r="J2" s="37" t="str">
        <x:v>Проверено через открытый интернет и браузер Codex. Авито не обходится через Opera: автоматизированный доступ был запрещён системой. Профили с Авито можно проверить отдельно, если заказчик передаст прямые ссылки.</x:v>
      </x:c>
    </x:row>
    <x:row r="4">
      <x:c r="A4" s="10" t="str">
        <x:v>ID</x:v>
      </x:c>
      <x:c r="B4" s="32" t="str">
        <x:v>Категория</x:v>
      </x:c>
      <x:c r="C4" s="32" t="str">
        <x:v>Сайт</x:v>
      </x:c>
      <x:c r="D4" s="32" t="str">
        <x:v>Регион/точка</x:v>
      </x:c>
      <x:c r="E4" s="32" t="str">
        <x:v>Что найдено</x:v>
      </x:c>
      <x:c r="F4" s="32" t="str">
        <x:v>Ограничения/риски</x:v>
      </x:c>
      <x:c r="G4" s="32" t="str">
        <x:v>Дата проверки</x:v>
      </x:c>
      <x:c r="H4" s="32" t="str">
        <x:v>URL</x:v>
      </x:c>
      <x:c r="I4" s="32" t="str">
        <x:v>Статус</x:v>
      </x:c>
      <x:c r="J4" s="11" t="str">
        <x:v>Следующее действие</x:v>
      </x:c>
    </x:row>
    <x:row r="5">
      <x:c r="A5" s="16" t="str">
        <x:v>W01</x:v>
      </x:c>
      <x:c r="B5" s="16" t="str">
        <x:v>Техника/мебель</x:v>
      </x:c>
      <x:c r="C5" s="16" t="str">
        <x:v>Nadommebel</x:v>
      </x:c>
      <x:c r="D5" s="16" t="str">
        <x:v>Ставрополь, пункт выдачи</x:v>
      </x:c>
      <x:c r="E5" s="16" t="str">
        <x:v>Встраиваемая техника MAUNFELD, кухни, шкафы</x:v>
      </x:c>
      <x:c r="F5" s="16" t="str">
        <x:v>Цены и город видны; монтажные паспорта проверять отдельно</x:v>
      </x:c>
      <x:c r="G5" s="17" t="n">
        <x:v>46233</x:v>
      </x:c>
      <x:c r="H5" s="16" t="str">
        <x:v>https://stavropol.nadommebel.com/catalog/vstraivaemaya-tekhnika/</x:v>
      </x:c>
      <x:c r="I5" s="16" t="str">
        <x:v>ПРОВЕРЕНО</x:v>
      </x:c>
      <x:c r="J5" s="16" t="str">
        <x:v>До заказа сравнить с 2 другими продавцами и сервисом бренда</x:v>
      </x:c>
    </x:row>
    <x:row r="6">
      <x:c r="A6" s="16" t="str">
        <x:v>W02</x:v>
      </x:c>
      <x:c r="B6" s="16" t="str">
        <x:v>Мебель</x:v>
      </x:c>
      <x:c r="C6" s="16" t="str">
        <x:v>Divan.ru</x:v>
      </x:c>
      <x:c r="D6" s="16" t="str">
        <x:v>Ставрополь</x:v>
      </x:c>
      <x:c r="E6" s="16" t="str">
        <x:v>Диван, кровать, стулья, столики, декор</x:v>
      </x:c>
      <x:c r="F6" s="16" t="str">
        <x:v>Цена не подтверждает габаритную совместимость</x:v>
      </x:c>
      <x:c r="G6" s="17" t="n">
        <x:v>46232</x:v>
      </x:c>
      <x:c r="H6" s="16" t="str">
        <x:v>https://www.divan.ru/stavropol/</x:v>
      </x:c>
      <x:c r="I6" s="16" t="str">
        <x:v>ПРОВЕРЕНО</x:v>
      </x:c>
      <x:c r="J6" s="16" t="str">
        <x:v>Нужна повторная проверка цены перед оплатой</x:v>
      </x:c>
    </x:row>
    <x:row r="7">
      <x:c r="A7" s="16" t="str">
        <x:v>W03</x:v>
      </x:c>
      <x:c r="B7" s="16" t="str">
        <x:v>Кухня</x:v>
      </x:c>
      <x:c r="C7" s="16" t="str">
        <x:v>Мария</x:v>
      </x:c>
      <x:c r="D7" s="16" t="str">
        <x:v>Ставрополь</x:v>
      </x:c>
      <x:c r="E7" s="16" t="str">
        <x:v>Кухни на заказ</x:v>
      </x:c>
      <x:c r="F7" s="16" t="str">
        <x:v>Цена «от»; итог только после замера и проекта</x:v>
      </x:c>
      <x:c r="G7" s="17" t="n">
        <x:v>46232</x:v>
      </x:c>
      <x:c r="H7" s="16" t="str">
        <x:v>https://stavropol.marya.ru/price/</x:v>
      </x:c>
      <x:c r="I7" s="16" t="str">
        <x:v>ПРОВЕРЕНО</x:v>
      </x:c>
      <x:c r="J7" s="16" t="str">
        <x:v>Запросить проект, фурнитуру, столешницу, монтаж и сроки одной суммой</x:v>
      </x:c>
    </x:row>
    <x:row r="8">
      <x:c r="A8" s="16" t="str">
        <x:v>W04</x:v>
      </x:c>
      <x:c r="B8" s="16" t="str">
        <x:v>Сантехника</x:v>
      </x:c>
      <x:c r="C8" s="16" t="str">
        <x:v>Сантехника-Онлайн</x:v>
      </x:c>
      <x:c r="D8" s="16" t="str">
        <x:v>Ставрополь</x:v>
      </x:c>
      <x:c r="E8" s="16" t="str">
        <x:v>Душевые, системы, инсталляции</x:v>
      </x:c>
      <x:c r="F8" s="16" t="str">
        <x:v>Проверить наличие, гарантию и совместимость скрытых частей</x:v>
      </x:c>
      <x:c r="G8" s="17" t="n">
        <x:v>46232</x:v>
      </x:c>
      <x:c r="H8" s="16" t="str">
        <x:v>https://stavropol.santehnica.ru/</x:v>
      </x:c>
      <x:c r="I8" s="16" t="str">
        <x:v>ПРОВЕРЕНО</x:v>
      </x:c>
      <x:c r="J8" s="16" t="str">
        <x:v>Скрытые части покупать до разводки</x:v>
      </x:c>
    </x:row>
    <x:row r="9">
      <x:c r="A9" s="16" t="str">
        <x:v>W05</x:v>
      </x:c>
      <x:c r="B9" s="16" t="str">
        <x:v>Сантехника</x:v>
      </x:c>
      <x:c r="C9" s="16" t="str">
        <x:v>Сантехмега</x:v>
      </x:c>
      <x:c r="D9" s="16" t="str">
        <x:v>Ставрополь</x:v>
      </x:c>
      <x:c r="E9" s="16" t="str">
        <x:v>Инсталляции и комплекты</x:v>
      </x:c>
      <x:c r="F9" s="16" t="str">
        <x:v>На сайте есть предупреждение об информационном характере цен</x:v>
      </x:c>
      <x:c r="G9" s="17" t="n">
        <x:v>46232</x:v>
      </x:c>
      <x:c r="H9" s="16" t="str">
        <x:v>https://stavropol.santehmega.com/</x:v>
      </x:c>
      <x:c r="I9" s="16" t="str">
        <x:v>ПРОВЕРЕНО</x:v>
      </x:c>
      <x:c r="J9" s="16" t="str">
        <x:v>Получить счёт с артикулом и сроком поставки</x:v>
      </x:c>
    </x:row>
    <x:row r="10">
      <x:c r="A10" s="16" t="str">
        <x:v>W06</x:v>
      </x:c>
      <x:c r="B10" s="16" t="str">
        <x:v>Материалы/свет/мебель ванной</x:v>
      </x:c>
      <x:c r="C10" s="16" t="str">
        <x:v>Лемана ПРО</x:v>
      </x:c>
      <x:c r="D10" s="16" t="str">
        <x:v>Ставрополь</x:v>
      </x:c>
      <x:c r="E10" s="16" t="str">
        <x:v>Материалы, свет, сантехника, газовые котлы</x:v>
      </x:c>
      <x:c r="F10" s="16" t="str">
        <x:v>Котёл не выбирать по одной цене; часть контрольных цен пока из других регионов</x:v>
      </x:c>
      <x:c r="G10" s="17" t="n">
        <x:v>46232</x:v>
      </x:c>
      <x:c r="H10" s="16" t="str">
        <x:v>https://stavropol.lemanapro.ru/</x:v>
      </x:c>
      <x:c r="I10" s="16" t="str">
        <x:v>ЧАСТИЧНО</x:v>
      </x:c>
      <x:c r="J10" s="16" t="str">
        <x:v>Заменить все межрегиональные цены местным счётом</x:v>
      </x:c>
    </x:row>
    <x:row r="11">
      <x:c r="A11" s="16" t="str">
        <x:v>W07</x:v>
      </x:c>
      <x:c r="B11" s="16" t="str">
        <x:v>Растения</x:v>
      </x:c>
      <x:c r="C11" s="16" t="str">
        <x:v>Питомник растений</x:v>
      </x:c>
      <x:c r="D11" s="16" t="str">
        <x:v>Каталог для Ставрополя</x:v>
      </x:c>
      <x:c r="E11" s="16" t="str">
        <x:v>Саженцы и комплекты</x:v>
      </x:c>
      <x:c r="F11" s="16" t="str">
        <x:v>В браузере дата цен 29.07.2026; сорт и фактический размер сверять при отгрузке</x:v>
      </x:c>
      <x:c r="G11" s="17" t="n">
        <x:v>46233</x:v>
      </x:c>
      <x:c r="H11" s="16" t="str">
        <x:v>https://stavropol.pitomnik-rastenij.ru/category/sazhentsy</x:v>
      </x:c>
      <x:c r="I11" s="16" t="str">
        <x:v>ПРОВЕРЕНО</x:v>
      </x:c>
      <x:c r="J11" s="16" t="str">
        <x:v>Не заменять выбранный сорт без пересчёта взрослого размера</x:v>
      </x:c>
    </x:row>
    <x:row r="12">
      <x:c r="A12" s="16" t="str">
        <x:v>W08</x:v>
      </x:c>
      <x:c r="B12" s="16" t="str">
        <x:v>Растения</x:v>
      </x:c>
      <x:c r="C12" s="16" t="str">
        <x:v>Растения24</x:v>
      </x:c>
      <x:c r="D12" s="16" t="str">
        <x:v>ПВЗ: Ставрополь, пер. Макарова, 26</x:v>
      </x:c>
      <x:c r="E12" s="16" t="str">
        <x:v>Кустарники, многолетники, грунт, доставка</x:v>
      </x:c>
      <x:c r="F12" s="16" t="str">
        <x:v>Пункт выдачи не равен местному выращиванию; проверить происхождение и состояние</x:v>
      </x:c>
      <x:c r="G12" s="17" t="n">
        <x:v>46233</x:v>
      </x:c>
      <x:c r="H12" s="16" t="str">
        <x:v>https://stavropol.rasteniya24.ru/allproduct/</x:v>
      </x:c>
      <x:c r="I12" s="16" t="str">
        <x:v>ПРОВЕРЕНО</x:v>
      </x:c>
      <x:c r="J12" s="16" t="str">
        <x:v>Осмотр растений до посадки обязателен</x:v>
      </x:c>
    </x:row>
    <x:row r="13">
      <x:c r="A13" s="16" t="str">
        <x:v>W09</x:v>
      </x:c>
      <x:c r="B13" s="16" t="str">
        <x:v>Растения</x:v>
      </x:c>
      <x:c r="C13" s="16" t="str">
        <x:v>Знак Земли</x:v>
      </x:c>
      <x:c r="D13" s="16" t="str">
        <x:v>Страница Ставрополя</x:v>
      </x:c>
      <x:c r="E13" s="16" t="str">
        <x:v>Little Lime, Little Princess, Hidcote и другие сорта</x:v>
      </x:c>
      <x:c r="F13" s="16" t="str">
        <x:v>Цены на выбранные сорта не извлечены; запрашивать КП и наличие</x:v>
      </x:c>
      <x:c r="G13" s="17" t="n">
        <x:v>46233</x:v>
      </x:c>
      <x:c r="H13" s="16" t="str">
        <x:v>https://stavropol.zpitomnik.ru/</x:v>
      </x:c>
      <x:c r="I13" s="16" t="str">
        <x:v>ПРОВЕРЕНО БЕЗ ЦЕНЫ</x:v>
      </x:c>
      <x:c r="J13" s="16" t="str">
        <x:v>Сверить контейнер, высоту, ветвление и гарантию приживаемости</x:v>
      </x:c>
    </x:row>
    <x:row r="14">
      <x:c r="A14" s="16" t="str">
        <x:v>W10</x:v>
      </x:c>
      <x:c r="B14" s="16" t="str">
        <x:v>Растения/работы</x:v>
      </x:c>
      <x:c r="C14" s="16" t="str">
        <x:v>СадЦентр</x:v>
      </x:c>
      <x:c r="D14" s="16" t="str">
        <x:v>Доставка в Ставрополь</x:v>
      </x:c>
      <x:c r="E14" s="16" t="str">
        <x:v>Растения, доставка, посадка, уход</x:v>
      </x:c>
      <x:c r="F14" s="16" t="str">
        <x:v>Нужны местные объекты и отдельная смета на посадку</x:v>
      </x:c>
      <x:c r="G14" s="17" t="n">
        <x:v>46233</x:v>
      </x:c>
      <x:c r="H14" s="16" t="str">
        <x:v>https://www.sad-centr.ru/regions/stavropol/</x:v>
      </x:c>
      <x:c r="I14" s="16" t="str">
        <x:v>КАНДИДАТ</x:v>
      </x:c>
      <x:c r="J14" s="16" t="str">
        <x:v>Запросить фото объектов через 2–3 сезона, а не только после посадки</x:v>
      </x:c>
    </x:row>
    <x:row r="15">
      <x:c r="A15" s="16" t="str">
        <x:v>W11</x:v>
      </x:c>
      <x:c r="B15" s="16" t="str">
        <x:v>Подрядчики</x:v>
      </x:c>
      <x:c r="C15" s="16" t="str">
        <x:v>Авито</x:v>
      </x:c>
      <x:c r="D15" s="16" t="str">
        <x:v>Ставрополь</x:v>
      </x:c>
      <x:c r="E15" s="16" t="str">
        <x:v>Частные мастера и бригады</x:v>
      </x:c>
      <x:c r="F15" s="16" t="str">
        <x:v>Автоматизированный доступ запрещён; обход через Opera не выполняется</x:v>
      </x:c>
      <x:c r="G15" s="17" t="n">
        <x:v>46233</x:v>
      </x:c>
      <x:c r="H15" s="16" t="str">
        <x:v>https://www.avito.ru/</x:v>
      </x:c>
      <x:c r="I15" s="16" t="str">
        <x:v>НУЖНЫ ССЫЛКИ ОТ ЗАКАЗЧИКА</x:v>
      </x:c>
      <x:c r="J15" s="16" t="str">
        <x:v>По каждой ссылке проверить отзывы, ИП/договор, гарантию, портфолио и КП</x:v>
      </x:c>
    </x:row>
    <x:row r="16">
      <x:c r="A16" s="16" t="str">
        <x:v>W12</x:v>
      </x:c>
      <x:c r="B16" s="16" t="str">
        <x:v>Потолки</x:v>
      </x:c>
      <x:c r="C16" s="16" t="str">
        <x:v>PotolokStavropol</x:v>
      </x:c>
      <x:c r="D16" s="16" t="str">
        <x:v>Ставрополь</x:v>
      </x:c>
      <x:c r="E16" s="16" t="str">
        <x:v>Натяжные потолки, световые линии, публичный диапазон 280–700 ₽/м²</x:v>
      </x:c>
      <x:c r="F16" s="16" t="str">
        <x:v>Цена «за м²» не включает автоматически все углы, карнизы, люки, свет и теневые узлы</x:v>
      </x:c>
      <x:c r="G16" s="17" t="n">
        <x:v>46233</x:v>
      </x:c>
      <x:c r="H16" s="16" t="str">
        <x:v>https://potolokstavropol.ru/</x:v>
      </x:c>
      <x:c r="I16" s="16" t="str">
        <x:v>КАНДИДАТ</x:v>
      </x:c>
      <x:c r="J16" s="16" t="str">
        <x:v>Получить построчную смету и образцы полотна; проверить гарантию в договоре</x:v>
      </x:c>
    </x:row>
    <x:row r="17">
      <x:c r="A17" s="16" t="str">
        <x:v>W13</x:v>
      </x:c>
      <x:c r="B17" s="16" t="str">
        <x:v>Мебель на заказ</x:v>
      </x:c>
      <x:c r="C17" s="16" t="str">
        <x:v>MebelNaZakaz26</x:v>
      </x:c>
      <x:c r="D17" s="16" t="str">
        <x:v>Ставропольский край</x:v>
      </x:c>
      <x:c r="E17" s="16" t="str">
        <x:v>Кухни от 80 000 ₽, шкафы, гардеробные, 3D и портфолио</x:v>
      </x:c>
      <x:c r="F17" s="16" t="str">
        <x:v>Заявления сайта не заменяют договор, реквизиты, реальные адреса и спецификацию фурнитуры</x:v>
      </x:c>
      <x:c r="G17" s="17" t="n">
        <x:v>46233</x:v>
      </x:c>
      <x:c r="H17" s="16" t="str">
        <x:v>https://mebelnazakaz26.ru/</x:v>
      </x:c>
      <x:c r="I17" s="16" t="str">
        <x:v>КАНДИДАТ</x:v>
      </x:c>
      <x:c r="J17" s="16" t="str">
        <x:v>Запросить чертежи, материалы, марки фурнитуры, сроки, монтаж и гарантийное обслуживание</x:v>
      </x:c>
    </x:row>
    <x:row r="18">
      <x:c r="A18" s="16" t="str">
        <x:v>W14</x:v>
      </x:c>
      <x:c r="B18" s="16" t="str">
        <x:v>Ландшафт/реализация</x:v>
      </x:c>
      <x:c r="C18" s="16" t="str">
        <x:v>MS Landshaft</x:v>
      </x:c>
      <x:c r="D18" s="16" t="str">
        <x:v>Ставрополь</x:v>
      </x:c>
      <x:c r="E18" s="16" t="str">
        <x:v>Портфолио, проект, газон, посадки и благоустройство</x:v>
      </x:c>
      <x:c r="F18" s="16" t="str">
        <x:v>Портфолио само по себе не подтверждает водоотвод и качество скрытых оснований</x:v>
      </x:c>
      <x:c r="G18" s="17" t="n">
        <x:v>46233</x:v>
      </x:c>
      <x:c r="H18" s="16" t="str">
        <x:v>https://stavropol.mslandshaft.ru/portfolio/</x:v>
      </x:c>
      <x:c r="I18" s="16" t="str">
        <x:v>КАНДИДАТ</x:v>
      </x:c>
      <x:c r="J18" s="16" t="str">
        <x:v>Запросить генплан, дренаж, пироги покрытий, дендроплан, смету и объекты через 2–3 сезона</x:v>
      </x:c>
    </x:row>
  </x:sheetData>
  <x:mergeCells>
    <x:mergeCell ref="A1:J1"/>
    <x:mergeCell ref="A2:J2"/>
  </x:mergeCells>
  <x:conditionalFormatting sqref="I5:I18">
    <x:cfRule type="containsText" dxfId="12" priority="1" operator="containsText" text="ПРОВЕРЕНО"/>
    <x:cfRule type="containsText" dxfId="13" priority="2" operator="containsText" text="НУЖНЫ"/>
  </x:conditionalFormatting>
  <x:pageMargins left="0.7" right="0.7" top="0.75" bottom="0.75" header="0.3" footer="0.3"/>
  <x:tableParts count="1">
    <x:tablePart xmlns:r="http://schemas.openxmlformats.org/officeDocument/2006/relationships" r:id="Rf5e5842f7edc4d1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4" hidden="0" customWidth="1"/>
    <x:col min="3" max="3" width="14" hidden="0" customWidth="1"/>
    <x:col min="4" max="4" width="12" hidden="0" customWidth="1"/>
    <x:col min="5" max="5" width="24" hidden="0" customWidth="1"/>
    <x:col min="6" max="6" width="13" hidden="0" customWidth="1"/>
    <x:col min="7" max="7" width="74" hidden="0" customWidth="1"/>
  </x:cols>
  <x:sheetData>
    <x:row r="1" ht="30" customHeight="1">
      <x:c r="A1" s="3" t="str">
        <x:v>Источники цен: проверяемая ссылка, дата и регион</x:v>
      </x:c>
      <x:c r="B1" s="3" t="str">
        <x:v>Источники цен: проверяемая ссылка, дата и регион</x:v>
      </x:c>
      <x:c r="C1" s="3" t="str">
        <x:v>Источники цен: проверяемая ссылка, дата и регион</x:v>
      </x:c>
      <x:c r="D1" s="3" t="str">
        <x:v>Источники цен: проверяемая ссылка, дата и регион</x:v>
      </x:c>
      <x:c r="E1" s="3" t="str">
        <x:v>Источники цен: проверяемая ссылка, дата и регион</x:v>
      </x:c>
      <x:c r="F1" s="3" t="str">
        <x:v>Источники цен: проверяемая ссылка, дата и регион</x:v>
      </x:c>
      <x:c r="G1" s="3" t="str">
        <x:v>Источники цен: проверяемая ссылка, дата и регион</x:v>
      </x:c>
    </x:row>
    <x:row r="3">
      <x:c r="A3" s="10" t="str">
        <x:v>ID</x:v>
      </x:c>
      <x:c r="B3" s="32" t="str">
        <x:v>Позиция</x:v>
      </x:c>
      <x:c r="C3" s="32" t="str">
        <x:v>Цена, ₽</x:v>
      </x:c>
      <x:c r="D3" s="32" t="str">
        <x:v>Ед.</x:v>
      </x:c>
      <x:c r="E3" s="32" t="str">
        <x:v>Регион</x:v>
      </x:c>
      <x:c r="F3" s="32" t="str">
        <x:v>Дата</x:v>
      </x:c>
      <x:c r="G3" s="11" t="str">
        <x:v>URL</x:v>
      </x:c>
    </x:row>
    <x:row r="4">
      <x:c r="A4" s="16" t="str">
        <x:v>M001</x:v>
      </x:c>
      <x:c r="B4" s="16" t="str">
        <x:v>Штукатурка Knauf Ротбанд 30 кг</x:v>
      </x:c>
      <x:c r="C4" s="34" t="n">
        <x:v>593</x:v>
      </x:c>
      <x:c r="D4" s="16" t="str">
        <x:v>мешок</x:v>
      </x:c>
      <x:c r="E4" s="16" t="str">
        <x:v>Москва/сайт без выбранного объекта</x:v>
      </x:c>
      <x:c r="F4" s="17" t="n">
        <x:v>46232</x:v>
      </x:c>
      <x:c r="G4" s="16" t="str">
        <x:v>https://lemanapro.ru/catalogue/shtukaturki/</x:v>
      </x:c>
    </x:row>
    <x:row r="5">
      <x:c r="A5" s="16" t="str">
        <x:v>M002</x:v>
      </x:c>
      <x:c r="B5" s="16" t="str">
        <x:v>Грунтовка Ceresit CT17 10 л</x:v>
      </x:c>
      <x:c r="C5" s="34" t="n">
        <x:v>1280</x:v>
      </x:c>
      <x:c r="D5" s="16" t="str">
        <x:v>шт</x:v>
      </x:c>
      <x:c r="E5" s="16" t="str">
        <x:v>Воронеж</x:v>
      </x:c>
      <x:c r="F5" s="17" t="n">
        <x:v>46232</x:v>
      </x:c>
      <x:c r="G5" s="16" t="str">
        <x:v>https://voronezh.lemanapro.ru/catalogue/gruntovki/akrilovye-glubokogo-proniknoveniya/</x:v>
      </x:c>
    </x:row>
    <x:row r="6">
      <x:c r="A6" s="16" t="str">
        <x:v>M003</x:v>
      </x:c>
      <x:c r="B6" s="16" t="str">
        <x:v>Гидроизоляция Ceresit CL51 15 кг</x:v>
      </x:c>
      <x:c r="C6" s="34" t="n">
        <x:v>7300</x:v>
      </x:c>
      <x:c r="D6" s="16" t="str">
        <x:v>шт</x:v>
      </x:c>
      <x:c r="E6" s="16" t="str">
        <x:v>Ульяновск</x:v>
      </x:c>
      <x:c r="F6" s="17" t="n">
        <x:v>46232</x:v>
      </x:c>
      <x:c r="G6" s="16" t="str">
        <x:v>https://ulyanovsk.lemanapro.ru/product/mastika-gidroizolyacionnaya-polimernaya-cerezit-cl51-15-kg-82040516/</x:v>
      </x:c>
    </x:row>
    <x:row r="7">
      <x:c r="A7" s="16" t="str">
        <x:v>M004</x:v>
      </x:c>
      <x:c r="B7" s="16" t="str">
        <x:v>Клей Ceresit CM11 Pro 25 кг</x:v>
      </x:c>
      <x:c r="C7" s="34" t="n">
        <x:v>597</x:v>
      </x:c>
      <x:c r="D7" s="16" t="str">
        <x:v>мешок</x:v>
      </x:c>
      <x:c r="E7" s="16" t="str">
        <x:v>Воронеж</x:v>
      </x:c>
      <x:c r="F7" s="17" t="n">
        <x:v>46232</x:v>
      </x:c>
      <x:c r="G7" s="16" t="str">
        <x:v>https://voronezh.lemanapro.ru/product/kley-dlya-plitki-cerezit-sm-11-25-kg-12779250/</x:v>
      </x:c>
    </x:row>
    <x:row r="8">
      <x:c r="A8" s="16" t="str">
        <x:v>M005</x:v>
      </x:c>
      <x:c r="B8" s="16" t="str">
        <x:v>Кабель ВВГпнг(A)-LS 3×2,5 ГОСТ</x:v>
      </x:c>
      <x:c r="C8" s="34" t="n">
        <x:v>107</x:v>
      </x:c>
      <x:c r="D8" s="16" t="str">
        <x:v>м</x:v>
      </x:c>
      <x:c r="E8" s="16" t="str">
        <x:v>Воронеж</x:v>
      </x:c>
      <x:c r="F8" s="17" t="n">
        <x:v>46232</x:v>
      </x:c>
      <x:c r="G8" s="16" t="str">
        <x:v>https://voronezh.lemanapro.ru/catalogue/silovye-kabeli/vvg-3x2-5-mm-gost/</x:v>
      </x:c>
    </x:row>
    <x:row r="9">
      <x:c r="A9" s="16" t="str">
        <x:v>W001</x:v>
      </x:c>
      <x:c r="B9" s="16" t="str">
        <x:v>Механизированная штукатурка стен</x:v>
      </x:c>
      <x:c r="C9" s="34" t="n">
        <x:v>400</x:v>
      </x:c>
      <x:c r="D9" s="16" t="str">
        <x:v>м²</x:v>
      </x:c>
      <x:c r="E9" s="16" t="str">
        <x:v>Ставрополь</x:v>
      </x:c>
      <x:c r="F9" s="17" t="n">
        <x:v>46232</x:v>
      </x:c>
      <x:c r="G9" s="16" t="str">
        <x:v>https://profi.ru/geo-stavropol/remont/malyarnye-shtukaturnye-raboty/shtukatury/price/</x:v>
      </x:c>
    </x:row>
    <x:row r="10">
      <x:c r="A10" s="16" t="str">
        <x:v>W002</x:v>
      </x:c>
      <x:c r="B10" s="16" t="str">
        <x:v>Штукатурка с выравниванием стен</x:v>
      </x:c>
      <x:c r="C10" s="34" t="n">
        <x:v>350</x:v>
      </x:c>
      <x:c r="D10" s="16" t="str">
        <x:v>м²</x:v>
      </x:c>
      <x:c r="E10" s="16" t="str">
        <x:v>Ставрополь</x:v>
      </x:c>
      <x:c r="F10" s="17" t="n">
        <x:v>46232</x:v>
      </x:c>
      <x:c r="G10" s="16" t="str">
        <x:v>https://stavropol.korona-remont.ru/uslugi/shtukaturno-malyarnye-raboty</x:v>
      </x:c>
    </x:row>
    <x:row r="11">
      <x:c r="A11" s="16" t="str">
        <x:v>W003</x:v>
      </x:c>
      <x:c r="B11" s="16" t="str">
        <x:v>Штукатурка потолков</x:v>
      </x:c>
      <x:c r="C11" s="34" t="n">
        <x:v>900</x:v>
      </x:c>
      <x:c r="D11" s="16" t="str">
        <x:v>м²</x:v>
      </x:c>
      <x:c r="E11" s="16" t="str">
        <x:v>Ставрополь</x:v>
      </x:c>
      <x:c r="F11" s="17" t="n">
        <x:v>46232</x:v>
      </x:c>
      <x:c r="G11" s="16" t="str">
        <x:v>https://profi.ru/geo-stavropol/remont/malyarnye-shtukaturnye-raboty/shtukatury/price/</x:v>
      </x:c>
    </x:row>
    <x:row r="12">
      <x:c r="A12" s="16" t="str">
        <x:v>W004</x:v>
      </x:c>
      <x:c r="B12" s="16" t="str">
        <x:v>Замена электророзетки</x:v>
      </x:c>
      <x:c r="C12" s="34" t="n">
        <x:v>500</x:v>
      </x:c>
      <x:c r="D12" s="16" t="str">
        <x:v>шт</x:v>
      </x:c>
      <x:c r="E12" s="16" t="str">
        <x:v>Ставрополь</x:v>
      </x:c>
      <x:c r="F12" s="17" t="n">
        <x:v>46232</x:v>
      </x:c>
      <x:c r="G12" s="16" t="str">
        <x:v>https://stavropol.electric-doma.ru/</x:v>
      </x:c>
    </x:row>
    <x:row r="13">
      <x:c r="A13" s="16" t="str">
        <x:v>W005</x:v>
      </x:c>
      <x:c r="B13" s="16" t="str">
        <x:v>Замена проводки на кухне</x:v>
      </x:c>
      <x:c r="C13" s="34" t="n">
        <x:v>3000</x:v>
      </x:c>
      <x:c r="D13" s="16" t="str">
        <x:v>комплекс</x:v>
      </x:c>
      <x:c r="E13" s="16" t="str">
        <x:v>Ставрополь</x:v>
      </x:c>
      <x:c r="F13" s="17" t="n">
        <x:v>46232</x:v>
      </x:c>
      <x:c r="G13" s="16" t="str">
        <x:v>https://stavropol.electric-doma.ru/</x:v>
      </x:c>
    </x:row>
    <x:row r="14">
      <x:c r="A14" s="16" t="str">
        <x:v>W006</x:v>
      </x:c>
      <x:c r="B14" s="16" t="str">
        <x:v>Установка водяного тёплого пола</x:v>
      </x:c>
      <x:c r="C14" s="34" t="n">
        <x:v>400</x:v>
      </x:c>
      <x:c r="D14" s="16" t="str">
        <x:v>м²</x:v>
      </x:c>
      <x:c r="E14" s="16" t="str">
        <x:v>Ставрополь</x:v>
      </x:c>
      <x:c r="F14" s="17" t="n">
        <x:v>46232</x:v>
      </x:c>
      <x:c r="G14" s="16" t="str">
        <x:v>https://stavropol.hands.ru/category/santekhnika/</x:v>
      </x:c>
    </x:row>
    <x:row r="15">
      <x:c r="A15" s="16" t="str">
        <x:v>W007</x:v>
      </x:c>
      <x:c r="B15" s="16" t="str">
        <x:v>Монтаж радиатора отопления</x:v>
      </x:c>
      <x:c r="C15" s="34" t="n">
        <x:v>2300</x:v>
      </x:c>
      <x:c r="D15" s="16" t="str">
        <x:v>шт</x:v>
      </x:c>
      <x:c r="E15" s="16" t="str">
        <x:v>Ставрополь</x:v>
      </x:c>
      <x:c r="F15" s="17" t="n">
        <x:v>46232</x:v>
      </x:c>
      <x:c r="G15" s="16" t="str">
        <x:v>https://stavropol.hands.ru/category/santekhnika/</x:v>
      </x:c>
    </x:row>
    <x:row r="16">
      <x:c r="A16" s="16" t="str">
        <x:v>W008</x:v>
      </x:c>
      <x:c r="B16" s="16" t="str">
        <x:v>Окраска стен в 2 слоя</x:v>
      </x:c>
      <x:c r="C16" s="34" t="n">
        <x:v>220</x:v>
      </x:c>
      <x:c r="D16" s="16" t="str">
        <x:v>м²</x:v>
      </x:c>
      <x:c r="E16" s="16" t="str">
        <x:v>Ставрополь</x:v>
      </x:c>
      <x:c r="F16" s="17" t="n">
        <x:v>46232</x:v>
      </x:c>
      <x:c r="G16" s="16" t="str">
        <x:v>https://semcorp.ru/price/steny/</x:v>
      </x:c>
    </x:row>
    <x:row r="17">
      <x:c r="A17" s="16" t="str">
        <x:v>W009</x:v>
      </x:c>
      <x:c r="B17" s="16" t="str">
        <x:v>Декоративная штукатурка стен</x:v>
      </x:c>
      <x:c r="C17" s="34" t="n">
        <x:v>500</x:v>
      </x:c>
      <x:c r="D17" s="16" t="str">
        <x:v>м²</x:v>
      </x:c>
      <x:c r="E17" s="16" t="str">
        <x:v>Ставрополь</x:v>
      </x:c>
      <x:c r="F17" s="17" t="n">
        <x:v>46232</x:v>
      </x:c>
      <x:c r="G17" s="16" t="str">
        <x:v>https://semcorp.ru/price/steny/</x:v>
      </x:c>
    </x:row>
    <x:row r="18">
      <x:c r="A18" s="16" t="str">
        <x:v>W010</x:v>
      </x:c>
      <x:c r="B18" s="16" t="str">
        <x:v>Демонтаж кирпичной стены в 1/2 кирпича</x:v>
      </x:c>
      <x:c r="C18" s="34" t="n">
        <x:v>350</x:v>
      </x:c>
      <x:c r="D18" s="16" t="str">
        <x:v>м²</x:v>
      </x:c>
      <x:c r="E18" s="16" t="str">
        <x:v>Ставрополь</x:v>
      </x:c>
      <x:c r="F18" s="17" t="n">
        <x:v>46232</x:v>
      </x:c>
      <x:c r="G18" s="16" t="str">
        <x:v>https://semcorp.ru/price/steny/</x:v>
      </x:c>
    </x:row>
    <x:row r="19">
      <x:c r="A19" s="16" t="str">
        <x:v>W011</x:v>
      </x:c>
      <x:c r="B19" s="16" t="str">
        <x:v>Натяжной потолок с установкой и материалом</x:v>
      </x:c>
      <x:c r="C19" s="34" t="n">
        <x:v>280</x:v>
      </x:c>
      <x:c r="D19" s="16" t="str">
        <x:v>м²</x:v>
      </x:c>
      <x:c r="E19" s="16" t="str">
        <x:v>Ставрополь</x:v>
      </x:c>
      <x:c r="F19" s="17" t="n">
        <x:v>46233</x:v>
      </x:c>
      <x:c r="G19" s="16" t="str">
        <x:v>https://potolokstavropol.ru/</x:v>
      </x:c>
    </x:row>
    <x:row r="20">
      <x:c r="A20" s="16" t="str">
        <x:v>F001</x:v>
      </x:c>
      <x:c r="B20" s="16" t="str">
        <x:v>Кухня Мария «Айс» — базовый ориентир</x:v>
      </x:c>
      <x:c r="C20" s="34" t="n">
        <x:v>150000</x:v>
      </x:c>
      <x:c r="D20" s="16" t="str">
        <x:v>комплект</x:v>
      </x:c>
      <x:c r="E20" s="16" t="str">
        <x:v>Ставрополь</x:v>
      </x:c>
      <x:c r="F20" s="17" t="n">
        <x:v>46233</x:v>
      </x:c>
      <x:c r="G20" s="16" t="str">
        <x:v>https://stavropol.marya.ru/price/</x:v>
      </x:c>
    </x:row>
    <x:row r="21">
      <x:c r="A21" s="16" t="str">
        <x:v>F007</x:v>
      </x:c>
      <x:c r="B21" s="16" t="str">
        <x:v>Мебель на заказ — местный производитель, ценовой порог кухни</x:v>
      </x:c>
      <x:c r="C21" s="34" t="n">
        <x:v>80000</x:v>
      </x:c>
      <x:c r="D21" s="16" t="str">
        <x:v>комплект</x:v>
      </x:c>
      <x:c r="E21" s="16" t="str">
        <x:v>Ставрополь</x:v>
      </x:c>
      <x:c r="F21" s="17" t="n">
        <x:v>46233</x:v>
      </x:c>
      <x:c r="G21" s="16" t="str">
        <x:v>https://mebelnazakaz26.ru/</x:v>
      </x:c>
    </x:row>
    <x:row r="22">
      <x:c r="A22" s="16" t="str">
        <x:v>F002</x:v>
      </x:c>
      <x:c r="B22" s="16" t="str">
        <x:v>Диван угловой Вайвел-П Lazy Beige</x:v>
      </x:c>
      <x:c r="C22" s="34" t="n">
        <x:v>99440</x:v>
      </x:c>
      <x:c r="D22" s="16" t="str">
        <x:v>шт</x:v>
      </x:c>
      <x:c r="E22" s="16" t="str">
        <x:v>Ставрополь</x:v>
      </x:c>
      <x:c r="F22" s="17" t="n">
        <x:v>46232</x:v>
      </x:c>
      <x:c r="G22" s="16" t="str">
        <x:v>https://www.divan.ru/stavropol/</x:v>
      </x:c>
    </x:row>
    <x:row r="23">
      <x:c r="A23" s="16" t="str">
        <x:v>F003</x:v>
      </x:c>
      <x:c r="B23" s="16" t="str">
        <x:v>Кровать Агами 160 Bucle Cloud</x:v>
      </x:c>
      <x:c r="C23" s="34" t="n">
        <x:v>76040</x:v>
      </x:c>
      <x:c r="D23" s="16" t="str">
        <x:v>шт</x:v>
      </x:c>
      <x:c r="E23" s="16" t="str">
        <x:v>Ставрополь</x:v>
      </x:c>
      <x:c r="F23" s="17" t="n">
        <x:v>46232</x:v>
      </x:c>
      <x:c r="G23" s="16" t="str">
        <x:v>https://www.divan.ru/stavropol/</x:v>
      </x:c>
    </x:row>
    <x:row r="24">
      <x:c r="A24" s="16" t="str">
        <x:v>F004</x:v>
      </x:c>
      <x:c r="B24" s="16" t="str">
        <x:v>Стул Одар-1 Рогожка Бежевый/Натуральный</x:v>
      </x:c>
      <x:c r="C24" s="34" t="n">
        <x:v>15820</x:v>
      </x:c>
      <x:c r="D24" s="16" t="str">
        <x:v>шт</x:v>
      </x:c>
      <x:c r="E24" s="16" t="str">
        <x:v>Ставрополь</x:v>
      </x:c>
      <x:c r="F24" s="17" t="n">
        <x:v>46232</x:v>
      </x:c>
      <x:c r="G24" s="16" t="str">
        <x:v>https://www.divan.ru/stavropol/category/stulay-dlay-stolovoj</x:v>
      </x:c>
    </x:row>
    <x:row r="25">
      <x:c r="A25" s="16" t="str">
        <x:v>F005</x:v>
      </x:c>
      <x:c r="B25" s="16" t="str">
        <x:v>Журнальный стол Тампа-2 Grafit</x:v>
      </x:c>
      <x:c r="C25" s="34" t="n">
        <x:v>10520</x:v>
      </x:c>
      <x:c r="D25" s="16" t="str">
        <x:v>шт</x:v>
      </x:c>
      <x:c r="E25" s="16" t="str">
        <x:v>Ставрополь</x:v>
      </x:c>
      <x:c r="F25" s="17" t="n">
        <x:v>46232</x:v>
      </x:c>
      <x:c r="G25" s="16" t="str">
        <x:v>https://www.divan.ru/stavropol/category/zurnalnye-stoliki</x:v>
      </x:c>
    </x:row>
    <x:row r="26">
      <x:c r="A26" s="16" t="str">
        <x:v>F006</x:v>
      </x:c>
      <x:c r="B26" s="16" t="str">
        <x:v>Картина Рельеф Bordo Lines</x:v>
      </x:c>
      <x:c r="C26" s="34" t="n">
        <x:v>4670</x:v>
      </x:c>
      <x:c r="D26" s="16" t="str">
        <x:v>шт</x:v>
      </x:c>
      <x:c r="E26" s="16" t="str">
        <x:v>Ставрополь</x:v>
      </x:c>
      <x:c r="F26" s="17" t="n">
        <x:v>46232</x:v>
      </x:c>
      <x:c r="G26" s="16" t="str">
        <x:v>https://www.divan.ru/stavropol/</x:v>
      </x:c>
    </x:row>
    <x:row r="27">
      <x:c r="A27" s="16" t="str">
        <x:v>S001</x:v>
      </x:c>
      <x:c r="B27" s="16" t="str">
        <x:v>Инсталляция Grohe Rapid SL Solido 3-в-1</x:v>
      </x:c>
      <x:c r="C27" s="34" t="n">
        <x:v>23612</x:v>
      </x:c>
      <x:c r="D27" s="16" t="str">
        <x:v>шт</x:v>
      </x:c>
      <x:c r="E27" s="16" t="str">
        <x:v>Ставрополь</x:v>
      </x:c>
      <x:c r="F27" s="17" t="n">
        <x:v>46232</x:v>
      </x:c>
      <x:c r="G27" s="16" t="str">
        <x:v>https://stavropol.santehmega.com/</x:v>
      </x:c>
    </x:row>
    <x:row r="28">
      <x:c r="A28" s="16" t="str">
        <x:v>S002</x:v>
      </x:c>
      <x:c r="B28" s="16" t="str">
        <x:v>Душевой уголок AM.PM Above 120×80</x:v>
      </x:c>
      <x:c r="C28" s="34" t="n">
        <x:v>27490</x:v>
      </x:c>
      <x:c r="D28" s="16" t="str">
        <x:v>шт</x:v>
      </x:c>
      <x:c r="E28" s="16" t="str">
        <x:v>Ставрополь</x:v>
      </x:c>
      <x:c r="F28" s="17" t="n">
        <x:v>46232</x:v>
      </x:c>
      <x:c r="G28" s="16" t="str">
        <x:v>https://stavropol.santehnica.ru/</x:v>
      </x:c>
    </x:row>
    <x:row r="29">
      <x:c r="A29" s="16" t="str">
        <x:v>S003</x:v>
      </x:c>
      <x:c r="B29" s="16" t="str">
        <x:v>Душевая система AM.PM Crave</x:v>
      </x:c>
      <x:c r="C29" s="34" t="n">
        <x:v>23890</x:v>
      </x:c>
      <x:c r="D29" s="16" t="str">
        <x:v>шт</x:v>
      </x:c>
      <x:c r="E29" s="16" t="str">
        <x:v>Ставрополь</x:v>
      </x:c>
      <x:c r="F29" s="17" t="n">
        <x:v>46232</x:v>
      </x:c>
      <x:c r="G29" s="16" t="str">
        <x:v>https://stavropol.santehnica.ru/</x:v>
      </x:c>
    </x:row>
    <x:row r="30">
      <x:c r="A30" s="16" t="str">
        <x:v>S004</x:v>
      </x:c>
      <x:c r="B30" s="16" t="str">
        <x:v>Тумба Мадрид Квадро 60 дуб + раковина</x:v>
      </x:c>
      <x:c r="C30" s="34" t="n">
        <x:v>20900</x:v>
      </x:c>
      <x:c r="D30" s="16" t="str">
        <x:v>шт</x:v>
      </x:c>
      <x:c r="E30" s="16" t="str">
        <x:v>Ставрополь</x:v>
      </x:c>
      <x:c r="F30" s="17" t="n">
        <x:v>46232</x:v>
      </x:c>
      <x:c r="G30" s="16" t="str">
        <x:v>https://stavropol.lemanapro.ru/set/tumba-pod-rakovinu-madrid-kvadro-60-sm-cvet-dub-s-rakovinoy-sanita-luxe-kvadro-60-89432275/</x:v>
      </x:c>
    </x:row>
    <x:row r="31">
      <x:c r="A31" s="16" t="str">
        <x:v>L001</x:v>
      </x:c>
      <x:c r="B31" s="16" t="str">
        <x:v>Комплект Freya Blissa: бра + люстра, бронза</x:v>
      </x:c>
      <x:c r="C31" s="34" t="n">
        <x:v>10238</x:v>
      </x:c>
      <x:c r="D31" s="16" t="str">
        <x:v>комплект</x:v>
      </x:c>
      <x:c r="E31" s="16" t="str">
        <x:v>Ставрополь</x:v>
      </x:c>
      <x:c r="F31" s="17" t="n">
        <x:v>46232</x:v>
      </x:c>
      <x:c r="G31" s="16" t="str">
        <x:v>https://stavropol.lemanapro.ru/set/komplekt-dekorativnogo-osveshcheniya-freya-blissa-bra-lyustra-3-rozhka-cvet-bronza-89468701/</x:v>
      </x:c>
    </x:row>
    <x:row r="32">
      <x:c r="A32" s="16" t="str">
        <x:v>G001</x:v>
      </x:c>
      <x:c r="B32" s="16" t="str">
        <x:v>Газовый котёл Ferroli Torino 25 кВт — ценовой ориентир</x:v>
      </x:c>
      <x:c r="C32" s="34" t="n">
        <x:v>50525</x:v>
      </x:c>
      <x:c r="D32" s="16" t="str">
        <x:v>шт</x:v>
      </x:c>
      <x:c r="E32" s="16" t="str">
        <x:v>Ставрополь</x:v>
      </x:c>
      <x:c r="F32" s="17" t="n">
        <x:v>46232</x:v>
      </x:c>
      <x:c r="G32" s="16" t="str">
        <x:v>https://stavropol.lemanapro.ru/catalogue/kotly-otopitelnye-gazovye/25-kvt/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8218a2b4644c441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8" hidden="0" customWidth="1"/>
  </x:cols>
  <x:sheetData>
    <x:row r="1" ht="30" customHeight="1">
      <x:c r="A1" s="3" t="str">
        <x:v>Исходные данные и границы точности</x:v>
      </x:c>
      <x:c r="B1" s="3" t="str">
        <x:v>Исходные данные и границы точности</x:v>
      </x:c>
      <x:c r="C1" s="3" t="str">
        <x:v>Исходные данные и границы точности</x:v>
      </x:c>
      <x:c r="D1" s="3" t="str">
        <x:v>Исходные данные и границы точности</x:v>
      </x:c>
      <x:c r="E1" s="3" t="str">
        <x:v>Исходные данные и границы точности</x:v>
      </x:c>
      <x:c r="F1" s="3" t="str">
        <x:v>Исходные данные и границы точности</x:v>
      </x:c>
    </x:row>
    <x:row r="3">
      <x:c r="A3" s="19" t="str">
        <x:v>Параметр</x:v>
      </x:c>
      <x:c r="B3" s="20" t="str">
        <x:v>Значение</x:v>
      </x:c>
    </x:row>
    <x:row r="4">
      <x:c r="A4" s="21" t="str">
        <x:v>Проект</x:v>
      </x:c>
      <x:c r="B4" s="22" t="str">
        <x:v>Дима Облагораживание</x:v>
      </x:c>
    </x:row>
    <x:row r="5">
      <x:c r="A5" s="21" t="str">
        <x:v>Ревизия</x:v>
      </x:c>
      <x:c r="B5" s="22" t="str">
        <x:v>v13</x:v>
      </x:c>
    </x:row>
    <x:row r="6">
      <x:c r="A6" s="21" t="str">
        <x:v>Дата сбора цен</x:v>
      </x:c>
      <x:c r="B6" s="23" t="n">
        <x:v>46232</x:v>
      </x:c>
    </x:row>
    <x:row r="7">
      <x:c r="A7" s="21" t="str">
        <x:v>Регион объекта</x:v>
      </x:c>
      <x:c r="B7" s="22" t="str">
        <x:v>Ставрополь, Ставропольский край</x:v>
      </x:c>
    </x:row>
    <x:row r="8">
      <x:c r="A8" s="21" t="str">
        <x:v>Стадия</x:v>
      </x:c>
      <x:c r="B8" s="22" t="str">
        <x:v>Эскиз + подготовка рабочей документации</x:v>
      </x:c>
    </x:row>
    <x:row r="9">
      <x:c r="A9" s="21" t="str">
        <x:v>Резерв конструктив/сети</x:v>
      </x:c>
      <x:c r="B9" s="24" t="n">
        <x:v>0.2</x:v>
      </x:c>
    </x:row>
    <x:row r="10">
      <x:c r="A10" s="21" t="str">
        <x:v>Резерв отделка/комплектация</x:v>
      </x:c>
      <x:c r="B10" s="24" t="n">
        <x:v>0.15</x:v>
      </x:c>
    </x:row>
    <x:row r="11">
      <x:c r="A11" s="21" t="str">
        <x:v>Источник геометрии</x:v>
      </x:c>
      <x:c r="B11" s="22" t="str">
        <x:v>PDF + исполнительные обмеры (обмеры ещё нужны)</x:v>
      </x:c>
    </x:row>
    <x:row r="12">
      <x:c r="A12" s="25" t="str">
        <x:v>Точность итоговой суммы</x:v>
      </x:c>
      <x:c r="B12" s="26" t="str">
        <x:v>Нельзя считать до объёмов, региона и трёх КП</x:v>
      </x:c>
    </x:row>
    <x:row r="14">
      <x:c r="A14" s="29" t="str">
        <x:v>Цены привязаны к Ставрополю, если в строке не указан другой контрольный регион. Перед закупкой повторно проверить наличие, доставку и итоговое коммерческое предложение.</x:v>
      </x:c>
      <x:c r="B14" s="29"/>
      <x:c r="C14" s="29"/>
      <x:c r="D14" s="29"/>
      <x:c r="E14" s="29"/>
      <x:c r="F14" s="29"/>
    </x:row>
  </x:sheetData>
  <x:mergeCells>
    <x:mergeCell ref="A1:F1"/>
    <x:mergeCell ref="A14:F14"/>
  </x:mergeCells>
  <x:pageMargins left="0.7" right="0.7" top="0.75" bottom="0.75" header="0.3" footer="0.3"/>
</x:worksheet>
</file>